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Headcount Plan" sheetId="2" r:id="rId2"/>
    <sheet name="Technology" sheetId="3" r:id="rId3"/>
    <sheet name="Retail Banking Ops" sheetId="4" r:id="rId4"/>
    <sheet name="Risk &amp; Compliance" sheetId="5" r:id="rId5"/>
    <sheet name="Marketing" sheetId="6" r:id="rId6"/>
    <sheet name="Human Resources" sheetId="7" r:id="rId7"/>
    <sheet name="Corporate Services" sheetId="8" r:id="rId8"/>
    <sheet name="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Northbridge Financial Group — FY26 Budget Assumptions</v>
      </c>
    </row>
    <row r="3">
      <c r="A3" t="str">
        <v>Assumption</v>
      </c>
      <c r="B3" t="str">
        <v>Value</v>
      </c>
      <c r="C3" t="str">
        <v>Notes</v>
      </c>
    </row>
    <row r="4">
      <c r="A4" t="str">
        <v>Fiscal Year</v>
      </c>
      <c r="B4" s="1">
        <v>2026</v>
      </c>
    </row>
    <row r="5">
      <c r="A5" t="str">
        <v>Benefits Load % (of Salary)</v>
      </c>
      <c r="B5" s="2">
        <v>0.32</v>
      </c>
      <c r="C5" t="str">
        <v>Health, retirement match, payroll taxes</v>
      </c>
    </row>
    <row r="6">
      <c r="A6" t="str">
        <v>Standard Merit Increase %</v>
      </c>
      <c r="B6" s="2">
        <v>0.035</v>
      </c>
    </row>
    <row r="7">
      <c r="A7" t="str">
        <v>Avg Fully-Loaded Salary — Non-Technology</v>
      </c>
      <c r="B7" s="3">
        <v>118000</v>
      </c>
    </row>
    <row r="8">
      <c r="A8" t="str">
        <v>Avg Fully-Loaded Salary — Technology</v>
      </c>
      <c r="B8" s="3">
        <v>165000</v>
      </c>
    </row>
    <row r="9">
      <c r="A9" t="str">
        <v>Travel &amp; Entertainment per FTE (Quarterly)</v>
      </c>
      <c r="B9" s="3">
        <v>850</v>
      </c>
    </row>
    <row r="10">
      <c r="A10" t="str">
        <v>Facilities Cost per FTE (Quarterly)</v>
      </c>
      <c r="B10" s="3">
        <v>2100</v>
      </c>
    </row>
    <row r="11">
      <c r="A11" t="str">
        <v>Software &amp; Technology Allocation per FTE (Quarterly)</v>
      </c>
      <c r="B11" s="3">
        <v>1200</v>
      </c>
    </row>
    <row r="12">
      <c r="A12" t="str">
        <v>Contractor Blended Rate (Hourly)</v>
      </c>
      <c r="B12" s="3">
        <v>145</v>
      </c>
      <c r="C12" t="str">
        <v>Reference only — not wired to a formula</v>
      </c>
    </row>
    <row r="13">
      <c r="A13" t="str">
        <v>Telecom &amp; Communications per FTE (Quarterly)</v>
      </c>
      <c r="B13" s="3">
        <v>180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Northbridge Financial Group — FY26 Headcount Plan</v>
      </c>
    </row>
    <row r="3">
      <c r="A3" t="str">
        <v>Department</v>
      </c>
      <c r="B3" t="str">
        <v>Q1 FTE</v>
      </c>
      <c r="C3" t="str">
        <v>Q2 FTE</v>
      </c>
      <c r="D3" t="str">
        <v>Q3 FTE</v>
      </c>
      <c r="E3" t="str">
        <v>Q4 FTE</v>
      </c>
      <c r="F3" t="str">
        <v>Q1 Salary $</v>
      </c>
      <c r="G3" t="str">
        <v>Q2 Salary $</v>
      </c>
      <c r="H3" t="str">
        <v>Q3 Salary $</v>
      </c>
      <c r="I3" t="str">
        <v>Q4 Salary $</v>
      </c>
    </row>
    <row r="4">
      <c r="A4" t="str">
        <v>Technology</v>
      </c>
      <c r="B4" s="1">
        <v>142</v>
      </c>
      <c r="C4" s="1">
        <v>145</v>
      </c>
      <c r="D4" s="1">
        <v>148</v>
      </c>
      <c r="E4" s="1">
        <v>152</v>
      </c>
      <c r="F4" s="3">
        <f>B4*Assumptions!$B$8/4</f>
        <v>5857500</v>
      </c>
      <c r="G4" s="3">
        <f>C4*Assumptions!$B$8/4</f>
        <v>5981250</v>
      </c>
      <c r="H4" s="3">
        <f>D4*Assumptions!$B$8/4</f>
        <v>6105000</v>
      </c>
      <c r="I4" s="3">
        <f>E4*Assumptions!$B$8/4</f>
        <v>6270000</v>
      </c>
    </row>
    <row r="5">
      <c r="A5" t="str">
        <v>Retail Banking Ops</v>
      </c>
      <c r="B5" s="1">
        <v>890</v>
      </c>
      <c r="C5" s="1">
        <v>895</v>
      </c>
      <c r="D5" s="1">
        <v>900</v>
      </c>
      <c r="E5" s="1">
        <v>905</v>
      </c>
      <c r="F5" s="3">
        <f>B5*Assumptions!$B$7/4</f>
        <v>26255000</v>
      </c>
      <c r="G5" s="3">
        <f>C5*Assumptions!$B$7/4</f>
        <v>26402500</v>
      </c>
      <c r="H5" s="3">
        <f>D5*Assumptions!$B$7/4</f>
        <v>26550000</v>
      </c>
      <c r="I5" s="3">
        <f>E5*Assumptions!$B$7/4</f>
        <v>26697500</v>
      </c>
    </row>
    <row r="6">
      <c r="A6" t="str">
        <v>Risk &amp; Compliance</v>
      </c>
      <c r="B6" s="1">
        <v>78</v>
      </c>
      <c r="C6" s="1">
        <v>82</v>
      </c>
      <c r="D6" s="1">
        <v>86</v>
      </c>
      <c r="E6" s="1">
        <v>90</v>
      </c>
      <c r="F6" s="3">
        <f>B6*Assumptions!$B$7/4</f>
        <v>2301000</v>
      </c>
      <c r="G6" s="3">
        <f>C6*Assumptions!$B$7/4</f>
        <v>2419000</v>
      </c>
      <c r="H6" s="3">
        <f>D6*Assumptions!$B$7/4</f>
        <v>2537000</v>
      </c>
      <c r="I6" s="3">
        <f>E6*Assumptions!$B$7/4</f>
        <v>2655000</v>
      </c>
    </row>
    <row r="7">
      <c r="A7" t="str">
        <v>Marketing</v>
      </c>
      <c r="B7" s="1">
        <v>54</v>
      </c>
      <c r="C7" s="1">
        <v>56</v>
      </c>
      <c r="D7" s="1">
        <v>58</v>
      </c>
      <c r="E7" s="1">
        <v>60</v>
      </c>
      <c r="F7" s="3">
        <f>B7*Assumptions!$B$7/4</f>
        <v>1593000</v>
      </c>
      <c r="G7" s="3">
        <f>C7*Assumptions!$B$7/4</f>
        <v>1652000</v>
      </c>
      <c r="H7" s="3">
        <f>D7*Assumptions!$B$7/4</f>
        <v>1711000</v>
      </c>
      <c r="I7" s="3">
        <f>E7*Assumptions!$B$7/4</f>
        <v>1770000</v>
      </c>
    </row>
    <row r="8">
      <c r="A8" t="str">
        <v>Human Resources</v>
      </c>
      <c r="B8" s="1">
        <v>46</v>
      </c>
      <c r="C8" s="1">
        <v>47</v>
      </c>
      <c r="D8" s="1">
        <v>48</v>
      </c>
      <c r="E8" s="1">
        <v>49</v>
      </c>
      <c r="F8" s="3">
        <f>B8*Assumptions!$B$7/4</f>
        <v>1357000</v>
      </c>
      <c r="G8" s="3">
        <f>C8*Assumptions!$B$7/4</f>
        <v>1386500</v>
      </c>
      <c r="H8" s="3">
        <f>D8*Assumptions!$B$7/4</f>
        <v>1416000</v>
      </c>
      <c r="I8" s="3">
        <f>E8*Assumptions!$B$7/4</f>
        <v>1445500</v>
      </c>
    </row>
    <row r="9">
      <c r="A9" t="str">
        <v>Corporate Services</v>
      </c>
      <c r="B9" s="1">
        <v>63</v>
      </c>
      <c r="C9" s="1">
        <v>64</v>
      </c>
      <c r="D9" s="1">
        <v>65</v>
      </c>
      <c r="E9" s="1">
        <v>66</v>
      </c>
      <c r="F9" s="3">
        <f>B9*Assumptions!$B$7/4</f>
        <v>1858500</v>
      </c>
      <c r="G9" s="3">
        <f>C9*Assumptions!$B$7/4</f>
        <v>1888000</v>
      </c>
      <c r="H9" s="3">
        <f>D9*Assumptions!$B$7/4</f>
        <v>1917500</v>
      </c>
      <c r="I9" s="3">
        <f>E9*Assumptions!$B$7/4</f>
        <v>1947000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Technology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Plan'!F4</f>
        <v>5857500</v>
      </c>
      <c r="C4" s="3">
        <f>'Headcount Plan'!G4</f>
        <v>5981250</v>
      </c>
      <c r="D4" s="3">
        <f>'Headcount Plan'!H4</f>
        <v>6105000</v>
      </c>
      <c r="E4" s="3">
        <f>'Headcount Plan'!I4</f>
        <v>6270000</v>
      </c>
      <c r="F4" s="3">
        <f>SUM(B4:E4)</f>
        <v>24213750</v>
      </c>
      <c r="G4" s="3">
        <v>22420139</v>
      </c>
      <c r="H4" s="2">
        <f>(F4-G4)/G4</f>
        <v>0.07999999464766923</v>
      </c>
      <c r="I4" t="str">
        <v>Includes planned Q3 platform-engineering team expansion</v>
      </c>
    </row>
    <row r="5">
      <c r="A5" t="str">
        <v>Payroll Taxes &amp; Benefits</v>
      </c>
      <c r="B5" s="3">
        <f>B4*Assumptions!$B$5</f>
        <v>1874400</v>
      </c>
      <c r="C5" s="3">
        <f>C4*Assumptions!$B$5</f>
        <v>1914000</v>
      </c>
      <c r="D5" s="3">
        <f>D4*Assumptions!$B$5</f>
        <v>1953600</v>
      </c>
      <c r="E5" s="3">
        <f>E4*Assumptions!$B$5</f>
        <v>2006400</v>
      </c>
      <c r="F5" s="3">
        <f>SUM(B5:E5)</f>
        <v>7748400</v>
      </c>
      <c r="G5" s="3">
        <v>7174444</v>
      </c>
      <c r="H5" s="2">
        <f>(F5-G5)/G5</f>
        <v>0.08000006690413919</v>
      </c>
    </row>
    <row r="6">
      <c r="A6" t="str">
        <v>Contractors &amp; Professional Services</v>
      </c>
      <c r="B6" s="3">
        <v>180000</v>
      </c>
      <c r="C6" s="3">
        <v>195000</v>
      </c>
      <c r="D6" s="3">
        <v>210000</v>
      </c>
      <c r="E6" s="3">
        <v>200000</v>
      </c>
      <c r="F6" s="3">
        <f>SUM(B6:E6)</f>
        <v>785000</v>
      </c>
      <c r="G6" s="3">
        <v>726852</v>
      </c>
      <c r="H6" s="2">
        <f>(F6-G6)/G6</f>
        <v>0.07999977987265633</v>
      </c>
    </row>
    <row r="7">
      <c r="A7" t="str">
        <v>Software &amp; Technology Subscriptions</v>
      </c>
      <c r="B7" s="3">
        <f>'Headcount Plan'!B4*Assumptions!$B$11</f>
        <v>170400</v>
      </c>
      <c r="C7" s="3">
        <f>'Headcount Plan'!C4*Assumptions!$B$11</f>
        <v>174000</v>
      </c>
      <c r="D7" s="3">
        <f>'Headcount Plan'!D4*Assumptions!$B$11</f>
        <v>177600</v>
      </c>
      <c r="E7" s="3">
        <f>'Headcount Plan'!E4*Assumptions!$B$11</f>
        <v>182400</v>
      </c>
      <c r="F7" s="3">
        <f>SUM(B7:E7)</f>
        <v>704400</v>
      </c>
      <c r="G7" s="3">
        <v>652222</v>
      </c>
      <c r="H7" s="2">
        <f>(F7-G7)/G7</f>
        <v>0.08000036797286814</v>
      </c>
    </row>
    <row r="8">
      <c r="A8" t="str">
        <v>Travel &amp; Entertainment</v>
      </c>
      <c r="B8" s="3">
        <f>'Headcount Plan'!B4*Assumptions!$B$9</f>
        <v>120700</v>
      </c>
      <c r="C8" s="3">
        <f>'Headcount Plan'!C4*Assumptions!$B$9</f>
        <v>123250</v>
      </c>
      <c r="D8" s="3">
        <f>'Headcount Plan'!D4*Assumptions!$B$9</f>
        <v>125800</v>
      </c>
      <c r="E8" s="3">
        <f>'Headcount Plan'!E4*Assumptions!$B$9</f>
        <v>129200</v>
      </c>
      <c r="F8" s="3">
        <f>SUM(B8:E8)</f>
        <v>498950</v>
      </c>
      <c r="G8" s="3">
        <v>461991</v>
      </c>
      <c r="H8" s="2">
        <f>(F8-G8)/G8</f>
        <v>0.07999939392758733</v>
      </c>
    </row>
    <row r="9">
      <c r="A9" t="str">
        <v>Training &amp; Development</v>
      </c>
      <c r="B9" s="3">
        <v>22000</v>
      </c>
      <c r="C9" s="3">
        <v>18000</v>
      </c>
      <c r="D9" s="3">
        <v>25000</v>
      </c>
      <c r="E9" s="3">
        <v>30000</v>
      </c>
      <c r="F9" s="3">
        <f>SUM(B9:E9)</f>
        <v>95000</v>
      </c>
      <c r="G9" s="3">
        <v>87963</v>
      </c>
      <c r="H9" s="2">
        <f>(F9-G9)/G9</f>
        <v>0.07999954526334936</v>
      </c>
    </row>
    <row r="10">
      <c r="A10" t="str">
        <v>Facilities Allocation</v>
      </c>
      <c r="B10" s="3">
        <f>'Headcount Plan'!B4*Assumptions!$B$10</f>
        <v>298200</v>
      </c>
      <c r="C10" s="3">
        <f>'Headcount Plan'!C4*Assumptions!$B$10</f>
        <v>304500</v>
      </c>
      <c r="D10" s="3">
        <f>'Headcount Plan'!D4*Assumptions!$B$10</f>
        <v>310800</v>
      </c>
      <c r="E10" s="3">
        <f>'Headcount Plan'!E4*Assumptions!$B$10</f>
        <v>319200</v>
      </c>
      <c r="F10" s="3">
        <f>SUM(B10:E10)</f>
        <v>1232700</v>
      </c>
      <c r="G10" s="3">
        <v>1141389</v>
      </c>
      <c r="H10" s="2">
        <f>(F10-G10)/G10</f>
        <v>0.07999989486494087</v>
      </c>
    </row>
    <row r="11">
      <c r="A11" t="str">
        <v>Telecom &amp; Communications</v>
      </c>
      <c r="B11" s="3">
        <f>'Headcount Plan'!B4*Assumptions!$B$13</f>
        <v>25560</v>
      </c>
      <c r="C11" s="3">
        <f>'Headcount Plan'!C4*Assumptions!$B$13</f>
        <v>26100</v>
      </c>
      <c r="D11" s="3">
        <f>'Headcount Plan'!D4*Assumptions!$B$13</f>
        <v>26640</v>
      </c>
      <c r="E11" s="3">
        <f>'Headcount Plan'!E4*Assumptions!$B$13</f>
        <v>27360</v>
      </c>
      <c r="F11" s="3">
        <f>SUM(B11:E11)</f>
        <v>105660</v>
      </c>
      <c r="G11" s="3">
        <v>97833</v>
      </c>
      <c r="H11" s="2">
        <f>(F11-G11)/G11</f>
        <v>0.08000367973996504</v>
      </c>
    </row>
    <row r="12">
      <c r="A12" t="str">
        <v>Office Supplies &amp; Equipment</v>
      </c>
      <c r="B12" s="3">
        <v>8000</v>
      </c>
      <c r="C12" s="3">
        <v>7500</v>
      </c>
      <c r="D12" s="3">
        <v>8200</v>
      </c>
      <c r="E12" s="3">
        <v>9000</v>
      </c>
      <c r="F12" s="3">
        <f>SUM(B12:E12)</f>
        <v>32700</v>
      </c>
      <c r="G12" s="3">
        <v>30278</v>
      </c>
      <c r="H12" s="2">
        <f>(F12-G12)/G12</f>
        <v>0.07999207345267191</v>
      </c>
    </row>
    <row r="13">
      <c r="A13" t="str">
        <v>Cloud Infrastructure &amp; Hosting</v>
      </c>
      <c r="B13" s="3">
        <v>410000</v>
      </c>
      <c r="C13" s="3">
        <v>425000</v>
      </c>
      <c r="D13" s="3">
        <v>440000</v>
      </c>
      <c r="E13" s="3">
        <v>460000</v>
      </c>
      <c r="F13" s="3">
        <f>SUM(B13:E13)</f>
        <v>1735000</v>
      </c>
      <c r="G13" s="3">
        <v>1606481</v>
      </c>
      <c r="H13" s="2">
        <f>(F13-G13)/G13</f>
        <v>0.08000032368885782</v>
      </c>
    </row>
    <row r="14">
      <c r="A14" t="str">
        <v>Other / Miscellaneous</v>
      </c>
      <c r="B14" s="3">
        <v>12000</v>
      </c>
      <c r="C14" s="3">
        <v>10000</v>
      </c>
      <c r="D14" s="3">
        <v>15000</v>
      </c>
      <c r="E14" s="3">
        <v>11000</v>
      </c>
      <c r="F14" s="3">
        <f>SUM(B14:E14)</f>
        <v>48000</v>
      </c>
      <c r="G14" s="3">
        <v>44444</v>
      </c>
      <c r="H14" s="2">
        <f>(F14-G14)/G14</f>
        <v>0.08001080010800107</v>
      </c>
    </row>
    <row r="15">
      <c r="A15" t="str">
        <v>Total OpEx</v>
      </c>
      <c r="B15" s="3">
        <f>SUM(B4:B14)</f>
        <v>8978760</v>
      </c>
      <c r="C15" s="3">
        <f>SUM(C4:C14)</f>
        <v>9178600</v>
      </c>
      <c r="D15" s="3">
        <f>SUM(D4:D14)</f>
        <v>9397640</v>
      </c>
      <c r="E15" s="3">
        <f>SUM(E4:E14)</f>
        <v>9644560</v>
      </c>
      <c r="F15" s="3">
        <f>SUM(B15:E15)</f>
        <v>37199560</v>
      </c>
      <c r="G15" s="3">
        <f>SUM(G4:G14)</f>
        <v>34444036</v>
      </c>
      <c r="H15" s="2">
        <f>(F15-G15)/G15</f>
        <v>0.08000003251651462</v>
      </c>
    </row>
    <row r="16">
      <c r="A16" t="str">
        <v>Capital Expenditures</v>
      </c>
      <c r="B16" s="3">
        <v>650000</v>
      </c>
      <c r="C16" s="3">
        <v>120000</v>
      </c>
      <c r="D16" s="3">
        <v>300000</v>
      </c>
      <c r="E16" s="3">
        <v>180000</v>
      </c>
      <c r="F16" s="3">
        <f>SUM(B16:E16)</f>
        <v>1250000</v>
      </c>
      <c r="G16" s="3">
        <v>1157407</v>
      </c>
      <c r="H16" s="2">
        <f>(F16-G16)/G16</f>
        <v>0.08000038016013382</v>
      </c>
      <c r="I16" t="str">
        <v>Q1 data-center hardware refresh cycle</v>
      </c>
    </row>
    <row r="17">
      <c r="A17" t="str">
        <v>Total Department Budget</v>
      </c>
      <c r="B17" s="3">
        <f>B15+B16</f>
        <v>9628760</v>
      </c>
      <c r="C17" s="3">
        <f>C15+C16</f>
        <v>9298600</v>
      </c>
      <c r="D17" s="3">
        <f>D15+D16</f>
        <v>9697640</v>
      </c>
      <c r="E17" s="3">
        <f>E15+E16</f>
        <v>9824560</v>
      </c>
      <c r="F17" s="3">
        <f>SUM(B17:E17)</f>
        <v>38449560</v>
      </c>
      <c r="G17" s="3">
        <f>G15+G16</f>
        <v>35601443</v>
      </c>
      <c r="H17" s="2">
        <f>(F17-G17)/G17</f>
        <v>0.0800000438184486</v>
      </c>
    </row>
  </sheetData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Retail Banking Ops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Plan'!F5</f>
        <v>26255000</v>
      </c>
      <c r="C4" s="3">
        <f>'Headcount Plan'!G5</f>
        <v>26402500</v>
      </c>
      <c r="D4" s="3">
        <f>'Headcount Plan'!H5</f>
        <v>26550000</v>
      </c>
      <c r="E4" s="3">
        <f>'Headcount Plan'!I5</f>
        <v>26697500</v>
      </c>
      <c r="F4" s="3">
        <f>SUM(B4:E4)</f>
        <v>105905000</v>
      </c>
      <c r="G4" s="3">
        <v>102820388</v>
      </c>
      <c r="H4" s="2">
        <f>(F4-G4)/G4</f>
        <v>0.03000000350125113</v>
      </c>
    </row>
    <row r="5">
      <c r="A5" t="str">
        <v>Payroll Taxes &amp; Benefits</v>
      </c>
      <c r="B5" s="3">
        <f>B4*Assumptions!$B$5</f>
        <v>8401600</v>
      </c>
      <c r="C5" s="3">
        <f>C4*Assumptions!$B$5</f>
        <v>8448800</v>
      </c>
      <c r="D5" s="3">
        <f>D4*Assumptions!$B$5</f>
        <v>8496000</v>
      </c>
      <c r="E5" s="3">
        <f>E4*Assumptions!$B$5</f>
        <v>8543200</v>
      </c>
      <c r="F5" s="3">
        <f>SUM(B5:E5)</f>
        <v>33889600</v>
      </c>
      <c r="G5" s="3">
        <v>32902524</v>
      </c>
      <c r="H5" s="2">
        <f>(F5-G5)/G5</f>
        <v>0.030000008509985434</v>
      </c>
    </row>
    <row r="6">
      <c r="A6" t="str">
        <v>Contractors &amp; Professional Services</v>
      </c>
      <c r="B6" s="3">
        <v>65000</v>
      </c>
      <c r="C6" s="3">
        <v>60000</v>
      </c>
      <c r="D6" s="3">
        <v>70000</v>
      </c>
      <c r="E6" s="3">
        <v>68000</v>
      </c>
      <c r="F6" s="3">
        <f>SUM(B6:E6)</f>
        <v>263000</v>
      </c>
      <c r="G6" s="3">
        <v>255340</v>
      </c>
      <c r="H6" s="2">
        <f>(F6-G6)/G6</f>
        <v>0.029999216730633663</v>
      </c>
    </row>
    <row r="7">
      <c r="A7" t="str">
        <v>Software &amp; Technology Subscriptions</v>
      </c>
      <c r="B7" s="3">
        <f>'Headcount Plan'!B5*Assumptions!$B$11</f>
        <v>1068000</v>
      </c>
      <c r="C7" s="3">
        <f>'Headcount Plan'!C5*Assumptions!$B$11</f>
        <v>1074000</v>
      </c>
      <c r="D7" s="3">
        <f>'Headcount Plan'!D5*Assumptions!$B$11</f>
        <v>1080000</v>
      </c>
      <c r="E7" s="3">
        <f>'Headcount Plan'!E5*Assumptions!$B$11</f>
        <v>1086000</v>
      </c>
      <c r="F7" s="3">
        <f>SUM(B7:E7)</f>
        <v>4308000</v>
      </c>
      <c r="G7" s="3">
        <v>4182524</v>
      </c>
      <c r="H7" s="2">
        <f>(F7-G7)/G7</f>
        <v>0.03000006694522255</v>
      </c>
    </row>
    <row r="8">
      <c r="A8" t="str">
        <v>Travel &amp; Entertainment</v>
      </c>
      <c r="B8" s="3">
        <f>'Headcount Plan'!B5*Assumptions!$B$9</f>
        <v>756500</v>
      </c>
      <c r="C8" s="3">
        <f>'Headcount Plan'!C5*Assumptions!$B$9</f>
        <v>760750</v>
      </c>
      <c r="D8" s="3">
        <f>'Headcount Plan'!D5*Assumptions!$B$9</f>
        <v>765000</v>
      </c>
      <c r="E8" s="3">
        <f>'Headcount Plan'!E5*Assumptions!$B$9</f>
        <v>769250</v>
      </c>
      <c r="F8" s="3">
        <f>SUM(B8:E8)</f>
        <v>3051500</v>
      </c>
      <c r="G8" s="3">
        <v>2962621</v>
      </c>
      <c r="H8" s="2">
        <f>(F8-G8)/G8</f>
        <v>0.0300001248894138</v>
      </c>
    </row>
    <row r="9">
      <c r="A9" t="str">
        <v>Training &amp; Development</v>
      </c>
      <c r="B9" s="3">
        <v>45000</v>
      </c>
      <c r="C9" s="3">
        <v>40000</v>
      </c>
      <c r="D9" s="3">
        <v>42000</v>
      </c>
      <c r="E9" s="3">
        <v>48000</v>
      </c>
      <c r="F9" s="3">
        <f>SUM(B9:E9)</f>
        <v>175000</v>
      </c>
      <c r="G9" s="3">
        <v>169903</v>
      </c>
      <c r="H9" s="2">
        <f>(F9-G9)/G9</f>
        <v>0.02999947028598671</v>
      </c>
    </row>
    <row r="10">
      <c r="A10" t="str">
        <v>Facilities Allocation</v>
      </c>
      <c r="B10" s="3">
        <f>'Headcount Plan'!B5*Assumptions!$B$10</f>
        <v>1869000</v>
      </c>
      <c r="C10" s="3">
        <f>'Headcount Plan'!C5*Assumptions!$B$10</f>
        <v>1879500</v>
      </c>
      <c r="D10" s="3">
        <f>'Headcount Plan'!D5*Assumptions!$B$10</f>
        <v>1890000</v>
      </c>
      <c r="E10" s="3">
        <f>'Headcount Plan'!E5*Assumptions!$B$10</f>
        <v>1900500</v>
      </c>
      <c r="F10" s="3">
        <f>SUM(B10:E10)</f>
        <v>7539000</v>
      </c>
      <c r="G10" s="3">
        <v>7319417</v>
      </c>
      <c r="H10" s="2">
        <f>(F10-G10)/G10</f>
        <v>0.03000006694522255</v>
      </c>
    </row>
    <row r="11">
      <c r="A11" t="str">
        <v>Telecom &amp; Communications</v>
      </c>
      <c r="B11" s="3">
        <f>'Headcount Plan'!B5*Assumptions!$B$13</f>
        <v>160200</v>
      </c>
      <c r="C11" s="3">
        <f>'Headcount Plan'!C5*Assumptions!$B$13</f>
        <v>161100</v>
      </c>
      <c r="D11" s="3">
        <f>'Headcount Plan'!D5*Assumptions!$B$13</f>
        <v>162000</v>
      </c>
      <c r="E11" s="3">
        <f>'Headcount Plan'!E5*Assumptions!$B$13</f>
        <v>162900</v>
      </c>
      <c r="F11" s="3">
        <f>SUM(B11:E11)</f>
        <v>646200</v>
      </c>
      <c r="G11" s="3">
        <v>627379</v>
      </c>
      <c r="H11" s="2">
        <f>(F11-G11)/G11</f>
        <v>0.029999410244844024</v>
      </c>
    </row>
    <row r="12">
      <c r="A12" t="str">
        <v>Office Supplies &amp; Equipment</v>
      </c>
      <c r="B12" s="3">
        <v>35000</v>
      </c>
      <c r="C12" s="3">
        <v>33000</v>
      </c>
      <c r="D12" s="3">
        <v>34000</v>
      </c>
      <c r="E12" s="3">
        <v>36000</v>
      </c>
      <c r="F12" s="3">
        <f>SUM(B12:E12)</f>
        <v>138000</v>
      </c>
      <c r="G12" s="3">
        <v>133981</v>
      </c>
      <c r="H12" s="2">
        <f>(F12-G12)/G12</f>
        <v>0.02999679058971048</v>
      </c>
    </row>
    <row r="13">
      <c r="A13" t="str">
        <v>Branch Operations &amp; Cash Services</v>
      </c>
      <c r="B13" s="3">
        <v>520000</v>
      </c>
      <c r="C13" s="3">
        <v>530000</v>
      </c>
      <c r="D13" s="3">
        <v>540000</v>
      </c>
      <c r="E13" s="3">
        <v>550000</v>
      </c>
      <c r="F13" s="3">
        <f>SUM(B13:E13)</f>
        <v>2140000</v>
      </c>
      <c r="G13" s="3">
        <v>2077670</v>
      </c>
      <c r="H13" s="2">
        <f>(F13-G13)/G13</f>
        <v>0.02999995186916113</v>
      </c>
      <c r="I13" t="str">
        <v>Branch cash-handling vendor contract renews in Q4</v>
      </c>
    </row>
    <row r="14">
      <c r="A14" t="str">
        <v>Other / Miscellaneous</v>
      </c>
      <c r="B14" s="3">
        <v>20000</v>
      </c>
      <c r="C14" s="3">
        <v>18000</v>
      </c>
      <c r="D14" s="3">
        <v>22000</v>
      </c>
      <c r="E14" s="3">
        <v>19000</v>
      </c>
      <c r="F14" s="3">
        <f>SUM(B14:E14)</f>
        <v>79000</v>
      </c>
      <c r="G14" s="3">
        <v>76699</v>
      </c>
      <c r="H14" s="2">
        <f>(F14-G14)/G14</f>
        <v>0.03000039113938904</v>
      </c>
    </row>
    <row r="15">
      <c r="A15" t="str">
        <v>Total OpEx</v>
      </c>
      <c r="B15" s="3">
        <f>SUM(B4:B14)</f>
        <v>39195300</v>
      </c>
      <c r="C15" s="3">
        <f>SUM(C4:C14)</f>
        <v>39407650</v>
      </c>
      <c r="D15" s="3">
        <f>SUM(D4:D14)</f>
        <v>39651000</v>
      </c>
      <c r="E15" s="3">
        <f>SUM(E4:E14)</f>
        <v>39880350</v>
      </c>
      <c r="F15" s="3">
        <f>SUM(B15:E15)</f>
        <v>158134300</v>
      </c>
      <c r="G15" s="3">
        <f>SUM(G4:G14)</f>
        <v>153528446</v>
      </c>
      <c r="H15" s="2">
        <f>(F15-G15)/G15</f>
        <v>0.03000000403833958</v>
      </c>
    </row>
    <row r="16">
      <c r="A16" t="str">
        <v>Capital Expenditures</v>
      </c>
      <c r="B16" s="3">
        <v>90000</v>
      </c>
      <c r="C16" s="3">
        <v>60000</v>
      </c>
      <c r="D16" s="3">
        <v>45000</v>
      </c>
      <c r="E16" s="3">
        <v>120000</v>
      </c>
      <c r="F16" s="3">
        <f>SUM(B16:E16)</f>
        <v>315000</v>
      </c>
      <c r="G16" s="3">
        <v>305825</v>
      </c>
      <c r="H16" s="2">
        <f>(F16-G16)/G16</f>
        <v>0.03000081746096624</v>
      </c>
    </row>
    <row r="17">
      <c r="A17" t="str">
        <v>Total Department Budget</v>
      </c>
      <c r="B17" s="3">
        <f>B15+B16</f>
        <v>39285300</v>
      </c>
      <c r="C17" s="3">
        <f>C15+C16</f>
        <v>39467650</v>
      </c>
      <c r="D17" s="3">
        <f>D15+D16</f>
        <v>39696000</v>
      </c>
      <c r="E17" s="3">
        <f>E15+E16</f>
        <v>40000350</v>
      </c>
      <c r="F17" s="3">
        <f>SUM(B17:E17)</f>
        <v>158449300</v>
      </c>
      <c r="G17" s="3">
        <f>G15+G16</f>
        <v>153834271</v>
      </c>
      <c r="H17" s="2">
        <f>(F17-G17)/G17</f>
        <v>0.03000000565543682</v>
      </c>
    </row>
  </sheetData>
  <ignoredErrors>
    <ignoredError numberStoredAsText="1" sqref="A1:I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Risk &amp; Compliance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Plan'!F6</f>
        <v>2301000</v>
      </c>
      <c r="C4" s="3">
        <f>'Headcount Plan'!G6</f>
        <v>2419000</v>
      </c>
      <c r="D4" s="3">
        <f>'Headcount Plan'!H6</f>
        <v>2537000</v>
      </c>
      <c r="E4" s="3">
        <f>'Headcount Plan'!I6</f>
        <v>2655000</v>
      </c>
      <c r="F4" s="3">
        <f>SUM(B4:E4)</f>
        <v>9912000</v>
      </c>
      <c r="G4" s="3">
        <v>8850000</v>
      </c>
      <c r="H4" s="2">
        <f>(F4-G4)/G4</f>
        <v>0.12</v>
      </c>
      <c r="I4" t="str">
        <v>New regulatory-reporting hires per FY26 exam findings</v>
      </c>
    </row>
    <row r="5">
      <c r="A5" t="str">
        <v>Payroll Taxes &amp; Benefits</v>
      </c>
      <c r="B5" s="3">
        <f>B4*Assumptions!$B$5</f>
        <v>736320</v>
      </c>
      <c r="C5" s="3">
        <f>C4*Assumptions!$B$5</f>
        <v>774080</v>
      </c>
      <c r="D5" s="3">
        <f>D4*Assumptions!$B$5</f>
        <v>811840</v>
      </c>
      <c r="E5" s="3">
        <f>E4*Assumptions!$B$5</f>
        <v>849600</v>
      </c>
      <c r="F5" s="3">
        <f>SUM(B5:E5)</f>
        <v>3171840</v>
      </c>
      <c r="G5" s="3">
        <v>2832000</v>
      </c>
      <c r="H5" s="2">
        <f>(F5-G5)/G5</f>
        <v>0.12</v>
      </c>
    </row>
    <row r="6">
      <c r="A6" t="str">
        <v>Contractors &amp; Professional Services</v>
      </c>
      <c r="B6" s="3">
        <v>140000</v>
      </c>
      <c r="C6" s="3">
        <v>150000</v>
      </c>
      <c r="D6" s="3">
        <v>160000</v>
      </c>
      <c r="E6" s="3">
        <v>155000</v>
      </c>
      <c r="F6" s="3">
        <f>SUM(B6:E6)</f>
        <v>605000</v>
      </c>
      <c r="G6" s="3">
        <v>540179</v>
      </c>
      <c r="H6" s="2">
        <f>(F6-G6)/G6</f>
        <v>0.11999911140566367</v>
      </c>
      <c r="I6" t="str">
        <v>External audit firm engagement, annual exam cycle</v>
      </c>
    </row>
    <row r="7">
      <c r="A7" t="str">
        <v>Software &amp; Technology Subscriptions</v>
      </c>
      <c r="B7" s="3">
        <f>'Headcount Plan'!B6*Assumptions!$B$11</f>
        <v>93600</v>
      </c>
      <c r="C7" s="3">
        <f>'Headcount Plan'!C6*Assumptions!$B$11</f>
        <v>98400</v>
      </c>
      <c r="D7" s="3">
        <f>'Headcount Plan'!D6*Assumptions!$B$11</f>
        <v>103200</v>
      </c>
      <c r="E7" s="3">
        <f>'Headcount Plan'!E6*Assumptions!$B$11</f>
        <v>108000</v>
      </c>
      <c r="F7" s="3">
        <f>SUM(B7:E7)</f>
        <v>403200</v>
      </c>
      <c r="G7" s="3">
        <v>360000</v>
      </c>
      <c r="H7" s="2">
        <f>(F7-G7)/G7</f>
        <v>0.12</v>
      </c>
    </row>
    <row r="8">
      <c r="A8" t="str">
        <v>Travel &amp; Entertainment</v>
      </c>
      <c r="B8" s="3">
        <f>'Headcount Plan'!B6*Assumptions!$B$9</f>
        <v>66300</v>
      </c>
      <c r="C8" s="3">
        <f>'Headcount Plan'!C6*Assumptions!$B$9</f>
        <v>69700</v>
      </c>
      <c r="D8" s="3">
        <f>'Headcount Plan'!D6*Assumptions!$B$9</f>
        <v>73100</v>
      </c>
      <c r="E8" s="3">
        <f>'Headcount Plan'!E6*Assumptions!$B$9</f>
        <v>76500</v>
      </c>
      <c r="F8" s="3">
        <f>SUM(B8:E8)</f>
        <v>285600</v>
      </c>
      <c r="G8" s="3">
        <v>255000</v>
      </c>
      <c r="H8" s="2">
        <f>(F8-G8)/G8</f>
        <v>0.12</v>
      </c>
    </row>
    <row r="9">
      <c r="A9" t="str">
        <v>Training &amp; Development</v>
      </c>
      <c r="B9" s="3">
        <v>15000</v>
      </c>
      <c r="C9" s="3">
        <v>14000</v>
      </c>
      <c r="D9" s="3">
        <v>16000</v>
      </c>
      <c r="E9" s="3">
        <v>18000</v>
      </c>
      <c r="F9" s="3">
        <f>SUM(B9:E9)</f>
        <v>63000</v>
      </c>
      <c r="G9" s="3">
        <v>56250</v>
      </c>
      <c r="H9" s="2">
        <f>(F9-G9)/G9</f>
        <v>0.12</v>
      </c>
    </row>
    <row r="10">
      <c r="A10" t="str">
        <v>Facilities Allocation</v>
      </c>
      <c r="B10" s="3">
        <f>'Headcount Plan'!B6*Assumptions!$B$10</f>
        <v>163800</v>
      </c>
      <c r="C10" s="3">
        <f>'Headcount Plan'!C6*Assumptions!$B$10</f>
        <v>172200</v>
      </c>
      <c r="D10" s="3">
        <f>'Headcount Plan'!D6*Assumptions!$B$10</f>
        <v>180600</v>
      </c>
      <c r="E10" s="3">
        <f>'Headcount Plan'!E6*Assumptions!$B$10</f>
        <v>189000</v>
      </c>
      <c r="F10" s="3">
        <f>SUM(B10:E10)</f>
        <v>705600</v>
      </c>
      <c r="G10" s="3">
        <v>630000</v>
      </c>
      <c r="H10" s="2">
        <f>(F10-G10)/G10</f>
        <v>0.12</v>
      </c>
    </row>
    <row r="11">
      <c r="A11" t="str">
        <v>Telecom &amp; Communications</v>
      </c>
      <c r="B11" s="3">
        <f>'Headcount Plan'!B6*Assumptions!$B$13</f>
        <v>14040</v>
      </c>
      <c r="C11" s="3">
        <f>'Headcount Plan'!C6*Assumptions!$B$13</f>
        <v>14760</v>
      </c>
      <c r="D11" s="3">
        <f>'Headcount Plan'!D6*Assumptions!$B$13</f>
        <v>15480</v>
      </c>
      <c r="E11" s="3">
        <f>'Headcount Plan'!E6*Assumptions!$B$13</f>
        <v>16200</v>
      </c>
      <c r="F11" s="3">
        <f>SUM(B11:E11)</f>
        <v>60480</v>
      </c>
      <c r="G11" s="3">
        <v>54000</v>
      </c>
      <c r="H11" s="2">
        <f>(F11-G11)/G11</f>
        <v>0.12</v>
      </c>
    </row>
    <row r="12">
      <c r="A12" t="str">
        <v>Office Supplies &amp; Equipment</v>
      </c>
      <c r="B12" s="3">
        <v>4000</v>
      </c>
      <c r="C12" s="3">
        <v>3800</v>
      </c>
      <c r="D12" s="3">
        <v>4200</v>
      </c>
      <c r="E12" s="3">
        <v>4500</v>
      </c>
      <c r="F12" s="3">
        <f>SUM(B12:E12)</f>
        <v>16500</v>
      </c>
      <c r="G12" s="3">
        <v>14732</v>
      </c>
      <c r="H12" s="2">
        <f>(F12-G12)/G12</f>
        <v>0.1200108607113766</v>
      </c>
    </row>
    <row r="13">
      <c r="A13" t="str">
        <v>Regulatory Filings &amp; Audit Fees</v>
      </c>
      <c r="B13" s="3">
        <v>310000</v>
      </c>
      <c r="C13" s="3">
        <v>300000</v>
      </c>
      <c r="D13" s="3">
        <v>340000</v>
      </c>
      <c r="E13" s="3">
        <v>360000</v>
      </c>
      <c r="F13" s="3">
        <f>SUM(B13:E13)</f>
        <v>1310000</v>
      </c>
      <c r="G13" s="3">
        <v>1169643</v>
      </c>
      <c r="H13" s="2">
        <f>(F13-G13)/G13</f>
        <v>0.11999986320612357</v>
      </c>
    </row>
    <row r="14">
      <c r="A14" t="str">
        <v>Other / Miscellaneous</v>
      </c>
      <c r="B14" s="3">
        <v>9000</v>
      </c>
      <c r="C14" s="3">
        <v>8500</v>
      </c>
      <c r="D14" s="3">
        <v>10000</v>
      </c>
      <c r="E14" s="3">
        <v>9500</v>
      </c>
      <c r="F14" s="3">
        <f>SUM(B14:E14)</f>
        <v>37000</v>
      </c>
      <c r="G14" s="3">
        <v>33036</v>
      </c>
      <c r="H14" s="2">
        <f>(F14-G14)/G14</f>
        <v>0.1199903135972878</v>
      </c>
    </row>
    <row r="15">
      <c r="A15" t="str">
        <v>Total OpEx</v>
      </c>
      <c r="B15" s="3">
        <f>SUM(B4:B14)</f>
        <v>3853060</v>
      </c>
      <c r="C15" s="3">
        <f>SUM(C4:C14)</f>
        <v>4024440</v>
      </c>
      <c r="D15" s="3">
        <f>SUM(D4:D14)</f>
        <v>4251420</v>
      </c>
      <c r="E15" s="3">
        <f>SUM(E4:E14)</f>
        <v>4441300</v>
      </c>
      <c r="F15" s="3">
        <f>SUM(B15:E15)</f>
        <v>16570220</v>
      </c>
      <c r="G15" s="3">
        <f>SUM(G4:G14)</f>
        <v>14794840</v>
      </c>
      <c r="H15" s="2">
        <f>(F15-G15)/G15</f>
        <v>0.1199999459270935</v>
      </c>
    </row>
    <row r="16">
      <c r="A16" t="str">
        <v>Capital Expenditures</v>
      </c>
      <c r="B16" s="3">
        <v>25000</v>
      </c>
      <c r="C16" s="3">
        <v>15000</v>
      </c>
      <c r="D16" s="3">
        <v>10000</v>
      </c>
      <c r="E16" s="3">
        <v>30000</v>
      </c>
      <c r="F16" s="3">
        <f>SUM(B16:E16)</f>
        <v>80000</v>
      </c>
      <c r="G16" s="3">
        <v>71429</v>
      </c>
      <c r="H16" s="2">
        <f>(F16-G16)/G16</f>
        <v>0.11999328004031976</v>
      </c>
    </row>
    <row r="17">
      <c r="A17" t="str">
        <v>Total Department Budget</v>
      </c>
      <c r="B17" s="3">
        <f>B15+B16</f>
        <v>3878060</v>
      </c>
      <c r="C17" s="3">
        <f>C15+C16</f>
        <v>4039440</v>
      </c>
      <c r="D17" s="3">
        <f>D15+D16</f>
        <v>4261420</v>
      </c>
      <c r="E17" s="3">
        <f>E15+E16</f>
        <v>4471300</v>
      </c>
      <c r="F17" s="3">
        <f>SUM(B17:E17)</f>
        <v>16650220</v>
      </c>
      <c r="G17" s="3">
        <f>G15+G16</f>
        <v>14866269</v>
      </c>
      <c r="H17" s="2">
        <f>(F17-G17)/G17</f>
        <v>0.11999991389904219</v>
      </c>
    </row>
  </sheetData>
  <ignoredErrors>
    <ignoredError numberStoredAsText="1" sqref="A1:I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Marketing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Plan'!F7</f>
        <v>1593000</v>
      </c>
      <c r="C4" s="3">
        <f>'Headcount Plan'!G7</f>
        <v>1652000</v>
      </c>
      <c r="D4" s="3">
        <f>'Headcount Plan'!H7</f>
        <v>1711000</v>
      </c>
      <c r="E4" s="3">
        <f>'Headcount Plan'!I7</f>
        <v>1770000</v>
      </c>
      <c r="F4" s="3">
        <f>SUM(B4:E4)</f>
        <v>6726000</v>
      </c>
      <c r="G4" s="3">
        <v>6345283</v>
      </c>
      <c r="H4" s="2">
        <f>(F4-G4)/G4</f>
        <v>0.06000000315194767</v>
      </c>
    </row>
    <row r="5">
      <c r="A5" t="str">
        <v>Payroll Taxes &amp; Benefits</v>
      </c>
      <c r="B5" s="3">
        <f>B4*Assumptions!$B$5</f>
        <v>509760</v>
      </c>
      <c r="C5" s="3">
        <f>C4*Assumptions!$B$5</f>
        <v>528640</v>
      </c>
      <c r="D5" s="3">
        <f>D4*Assumptions!$B$5</f>
        <v>547520</v>
      </c>
      <c r="E5" s="3">
        <f>E4*Assumptions!$B$5</f>
        <v>566400</v>
      </c>
      <c r="F5" s="3">
        <f>SUM(B5:E5)</f>
        <v>2152320</v>
      </c>
      <c r="G5" s="3">
        <v>2030491</v>
      </c>
      <c r="H5" s="2">
        <f>(F5-G5)/G5</f>
        <v>0.05999977345380994</v>
      </c>
    </row>
    <row r="6">
      <c r="A6" t="str">
        <v>Contractors &amp; Professional Services</v>
      </c>
      <c r="B6" s="3">
        <v>95000</v>
      </c>
      <c r="C6" s="3">
        <v>100000</v>
      </c>
      <c r="D6" s="3">
        <v>110000</v>
      </c>
      <c r="E6" s="3">
        <v>130000</v>
      </c>
      <c r="F6" s="3">
        <f>SUM(B6:E6)</f>
        <v>435000</v>
      </c>
      <c r="G6" s="3">
        <v>410377</v>
      </c>
      <c r="H6" s="2">
        <f>(F6-G6)/G6</f>
        <v>0.0600009259778204</v>
      </c>
    </row>
    <row r="7">
      <c r="A7" t="str">
        <v>Software &amp; Technology Subscriptions</v>
      </c>
      <c r="B7" s="3">
        <f>'Headcount Plan'!B7*Assumptions!$B$11</f>
        <v>64800</v>
      </c>
      <c r="C7" s="3">
        <f>'Headcount Plan'!C7*Assumptions!$B$11</f>
        <v>67200</v>
      </c>
      <c r="D7" s="3">
        <f>'Headcount Plan'!D7*Assumptions!$B$11</f>
        <v>69600</v>
      </c>
      <c r="E7" s="3">
        <f>'Headcount Plan'!E7*Assumptions!$B$11</f>
        <v>72000</v>
      </c>
      <c r="F7" s="3">
        <f>SUM(B7:E7)</f>
        <v>273600</v>
      </c>
      <c r="G7" s="3">
        <v>258113</v>
      </c>
      <c r="H7" s="2">
        <f>(F7-G7)/G7</f>
        <v>0.06000085233986665</v>
      </c>
    </row>
    <row r="8">
      <c r="A8" t="str">
        <v>Travel &amp; Entertainment</v>
      </c>
      <c r="B8" s="3">
        <f>'Headcount Plan'!B7*Assumptions!$B$9</f>
        <v>45900</v>
      </c>
      <c r="C8" s="3">
        <f>'Headcount Plan'!C7*Assumptions!$B$9</f>
        <v>47600</v>
      </c>
      <c r="D8" s="3">
        <f>'Headcount Plan'!D7*Assumptions!$B$9</f>
        <v>49300</v>
      </c>
      <c r="E8" s="3">
        <f>'Headcount Plan'!E7*Assumptions!$B$9</f>
        <v>51000</v>
      </c>
      <c r="F8" s="3">
        <f>SUM(B8:E8)</f>
        <v>193800</v>
      </c>
      <c r="G8" s="3">
        <v>182830</v>
      </c>
      <c r="H8" s="2">
        <f>(F8-G8)/G8</f>
        <v>0.060001093912377616</v>
      </c>
    </row>
    <row r="9">
      <c r="A9" t="str">
        <v>Training &amp; Development</v>
      </c>
      <c r="B9" s="3">
        <v>12000</v>
      </c>
      <c r="C9" s="3">
        <v>10000</v>
      </c>
      <c r="D9" s="3">
        <v>11000</v>
      </c>
      <c r="E9" s="3">
        <v>13000</v>
      </c>
      <c r="F9" s="3">
        <f>SUM(B9:E9)</f>
        <v>46000</v>
      </c>
      <c r="G9" s="3">
        <v>43396</v>
      </c>
      <c r="H9" s="2">
        <f>(F9-G9)/G9</f>
        <v>0.0600055304636372</v>
      </c>
    </row>
    <row r="10">
      <c r="A10" t="str">
        <v>Facilities Allocation</v>
      </c>
      <c r="B10" s="3">
        <f>'Headcount Plan'!B7*Assumptions!$B$10</f>
        <v>113400</v>
      </c>
      <c r="C10" s="3">
        <f>'Headcount Plan'!C7*Assumptions!$B$10</f>
        <v>117600</v>
      </c>
      <c r="D10" s="3">
        <f>'Headcount Plan'!D7*Assumptions!$B$10</f>
        <v>121800</v>
      </c>
      <c r="E10" s="3">
        <f>'Headcount Plan'!E7*Assumptions!$B$10</f>
        <v>126000</v>
      </c>
      <c r="F10" s="3">
        <f>SUM(B10:E10)</f>
        <v>478800</v>
      </c>
      <c r="G10" s="3">
        <v>451698</v>
      </c>
      <c r="H10" s="2">
        <f>(F10-G10)/G10</f>
        <v>0.06000026566422698</v>
      </c>
    </row>
    <row r="11">
      <c r="A11" t="str">
        <v>Telecom &amp; Communications</v>
      </c>
      <c r="B11" s="3">
        <f>'Headcount Plan'!B7*Assumptions!$B$13</f>
        <v>9720</v>
      </c>
      <c r="C11" s="3">
        <f>'Headcount Plan'!C7*Assumptions!$B$13</f>
        <v>10080</v>
      </c>
      <c r="D11" s="3">
        <f>'Headcount Plan'!D7*Assumptions!$B$13</f>
        <v>10440</v>
      </c>
      <c r="E11" s="3">
        <f>'Headcount Plan'!E7*Assumptions!$B$13</f>
        <v>10800</v>
      </c>
      <c r="F11" s="3">
        <f>SUM(B11:E11)</f>
        <v>41040</v>
      </c>
      <c r="G11" s="3">
        <v>38717</v>
      </c>
      <c r="H11" s="2">
        <f>(F11-G11)/G11</f>
        <v>0.05999948343105096</v>
      </c>
    </row>
    <row r="12">
      <c r="A12" t="str">
        <v>Office Supplies &amp; Equipment</v>
      </c>
      <c r="B12" s="3">
        <v>3000</v>
      </c>
      <c r="C12" s="3">
        <v>2800</v>
      </c>
      <c r="D12" s="3">
        <v>3200</v>
      </c>
      <c r="E12" s="3">
        <v>3500</v>
      </c>
      <c r="F12" s="3">
        <f>SUM(B12:E12)</f>
        <v>12500</v>
      </c>
      <c r="G12" s="3">
        <v>11792</v>
      </c>
      <c r="H12" s="2">
        <f>(F12-G12)/G12</f>
        <v>0.06004070556309362</v>
      </c>
    </row>
    <row r="13">
      <c r="A13" t="str">
        <v>Marketing Programs (Campaigns, Media &amp; Events)</v>
      </c>
      <c r="B13" s="3">
        <v>680000</v>
      </c>
      <c r="C13" s="3">
        <v>720000</v>
      </c>
      <c r="D13" s="3">
        <v>900000</v>
      </c>
      <c r="E13" s="3">
        <v>1100000</v>
      </c>
      <c r="F13" s="3">
        <f>SUM(B13:E13)</f>
        <v>3400000</v>
      </c>
      <c r="G13" s="3">
        <v>3207547</v>
      </c>
      <c r="H13" s="2">
        <f>(F13-G13)/G13</f>
        <v>0.06000005611765003</v>
      </c>
      <c r="I13" t="str">
        <v>Q4 spend reflects year-end deposit-growth campaign</v>
      </c>
    </row>
    <row r="14">
      <c r="A14" t="str">
        <v>Other / Miscellaneous</v>
      </c>
      <c r="B14" s="3">
        <v>15000</v>
      </c>
      <c r="C14" s="3">
        <v>12000</v>
      </c>
      <c r="D14" s="3">
        <v>14000</v>
      </c>
      <c r="E14" s="3">
        <v>20000</v>
      </c>
      <c r="F14" s="3">
        <f>SUM(B14:E14)</f>
        <v>61000</v>
      </c>
      <c r="G14" s="3">
        <v>57547</v>
      </c>
      <c r="H14" s="2">
        <f>(F14-G14)/G14</f>
        <v>0.06000312787808226</v>
      </c>
    </row>
    <row r="15">
      <c r="A15" t="str">
        <v>Total OpEx</v>
      </c>
      <c r="B15" s="3">
        <f>SUM(B4:B14)</f>
        <v>3141580</v>
      </c>
      <c r="C15" s="3">
        <f>SUM(C4:C14)</f>
        <v>3267920</v>
      </c>
      <c r="D15" s="3">
        <f>SUM(D4:D14)</f>
        <v>3547860</v>
      </c>
      <c r="E15" s="3">
        <f>SUM(E4:E14)</f>
        <v>3862700</v>
      </c>
      <c r="F15" s="3">
        <f>SUM(B15:E15)</f>
        <v>13820060</v>
      </c>
      <c r="G15" s="3">
        <f>SUM(G4:G14)</f>
        <v>13037791</v>
      </c>
      <c r="H15" s="2">
        <f>(F15-G15)/G15</f>
        <v>0.060000118118168945</v>
      </c>
    </row>
    <row r="16">
      <c r="A16" t="str">
        <v>Capital Expenditures</v>
      </c>
      <c r="B16" s="3">
        <v>20000</v>
      </c>
      <c r="C16" s="3">
        <v>15000</v>
      </c>
      <c r="D16" s="3">
        <v>10000</v>
      </c>
      <c r="E16" s="3">
        <v>25000</v>
      </c>
      <c r="F16" s="3">
        <f>SUM(B16:E16)</f>
        <v>70000</v>
      </c>
      <c r="G16" s="3">
        <v>66038</v>
      </c>
      <c r="H16" s="2">
        <f>(F16-G16)/G16</f>
        <v>0.059995760016959936</v>
      </c>
    </row>
    <row r="17">
      <c r="A17" t="str">
        <v>Total Department Budget</v>
      </c>
      <c r="B17" s="3">
        <f>B15+B16</f>
        <v>3161580</v>
      </c>
      <c r="C17" s="3">
        <f>C15+C16</f>
        <v>3282920</v>
      </c>
      <c r="D17" s="3">
        <f>D15+D16</f>
        <v>3557860</v>
      </c>
      <c r="E17" s="3">
        <f>E15+E16</f>
        <v>3887700</v>
      </c>
      <c r="F17" s="3">
        <f>SUM(B17:E17)</f>
        <v>13890060</v>
      </c>
      <c r="G17" s="3">
        <f>G15+G16</f>
        <v>13103829</v>
      </c>
      <c r="H17" s="2">
        <f>(F17-G17)/G17</f>
        <v>0.06000009615510093</v>
      </c>
    </row>
  </sheetData>
  <ignoredErrors>
    <ignoredError numberStoredAsText="1" sqref="A1:I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Human Resources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Plan'!F8</f>
        <v>1357000</v>
      </c>
      <c r="C4" s="3">
        <f>'Headcount Plan'!G8</f>
        <v>1386500</v>
      </c>
      <c r="D4" s="3">
        <f>'Headcount Plan'!H8</f>
        <v>1416000</v>
      </c>
      <c r="E4" s="3">
        <f>'Headcount Plan'!I8</f>
        <v>1445500</v>
      </c>
      <c r="F4" s="3">
        <f>SUM(B4:E4)</f>
        <v>5605000</v>
      </c>
      <c r="G4" s="3">
        <v>5389423</v>
      </c>
      <c r="H4" s="2">
        <f>(F4-G4)/G4</f>
        <v>0.0400000148438896</v>
      </c>
    </row>
    <row r="5">
      <c r="A5" t="str">
        <v>Payroll Taxes &amp; Benefits</v>
      </c>
      <c r="B5" s="3">
        <f>B4*Assumptions!$B$5</f>
        <v>434240</v>
      </c>
      <c r="C5" s="3">
        <f>C4*Assumptions!$B$5</f>
        <v>443680</v>
      </c>
      <c r="D5" s="3">
        <f>D4*Assumptions!$B$5</f>
        <v>453120</v>
      </c>
      <c r="E5" s="3">
        <f>E4*Assumptions!$B$5</f>
        <v>462560</v>
      </c>
      <c r="F5" s="3">
        <f>SUM(B5:E5)</f>
        <v>1793600</v>
      </c>
      <c r="G5" s="3">
        <v>1724615</v>
      </c>
      <c r="H5" s="2">
        <f>(F5-G5)/G5</f>
        <v>0.04000023193582336</v>
      </c>
    </row>
    <row r="6">
      <c r="A6" t="str">
        <v>Contractors &amp; Professional Services</v>
      </c>
      <c r="B6" s="3">
        <v>40000</v>
      </c>
      <c r="C6" s="3">
        <v>35000</v>
      </c>
      <c r="D6" s="3">
        <v>45000</v>
      </c>
      <c r="E6" s="3">
        <v>50000</v>
      </c>
      <c r="F6" s="3">
        <f>SUM(B6:E6)</f>
        <v>170000</v>
      </c>
      <c r="G6" s="3">
        <v>163462</v>
      </c>
      <c r="H6" s="2">
        <f>(F6-G6)/G6</f>
        <v>0.03999706353770295</v>
      </c>
    </row>
    <row r="7">
      <c r="A7" t="str">
        <v>Software &amp; Technology Subscriptions</v>
      </c>
      <c r="B7" s="3">
        <f>'Headcount Plan'!B8*Assumptions!$B$11</f>
        <v>55200</v>
      </c>
      <c r="C7" s="3">
        <f>'Headcount Plan'!C8*Assumptions!$B$11</f>
        <v>56400</v>
      </c>
      <c r="D7" s="3">
        <f>'Headcount Plan'!D8*Assumptions!$B$11</f>
        <v>57600</v>
      </c>
      <c r="E7" s="3">
        <f>'Headcount Plan'!E8*Assumptions!$B$11</f>
        <v>58800</v>
      </c>
      <c r="F7" s="3">
        <f>SUM(B7:E7)</f>
        <v>228000</v>
      </c>
      <c r="G7" s="3">
        <v>219231</v>
      </c>
      <c r="H7" s="2">
        <f>(F7-G7)/G7</f>
        <v>0.03999890526431025</v>
      </c>
    </row>
    <row r="8">
      <c r="A8" t="str">
        <v>Travel &amp; Entertainment</v>
      </c>
      <c r="B8" s="3">
        <f>'Headcount Plan'!B8*Assumptions!$B$9</f>
        <v>39100</v>
      </c>
      <c r="C8" s="3">
        <f>'Headcount Plan'!C8*Assumptions!$B$9</f>
        <v>39950</v>
      </c>
      <c r="D8" s="3">
        <f>'Headcount Plan'!D8*Assumptions!$B$9</f>
        <v>40800</v>
      </c>
      <c r="E8" s="3">
        <f>'Headcount Plan'!E8*Assumptions!$B$9</f>
        <v>41650</v>
      </c>
      <c r="F8" s="3">
        <f>SUM(B8:E8)</f>
        <v>161500</v>
      </c>
      <c r="G8" s="3">
        <v>155288</v>
      </c>
      <c r="H8" s="2">
        <f>(F8-G8)/G8</f>
        <v>0.04000309103085879</v>
      </c>
    </row>
    <row r="9">
      <c r="A9" t="str">
        <v>Training &amp; Development</v>
      </c>
      <c r="B9" s="3">
        <v>60000</v>
      </c>
      <c r="C9" s="3">
        <v>55000</v>
      </c>
      <c r="D9" s="3">
        <v>58000</v>
      </c>
      <c r="E9" s="3">
        <v>65000</v>
      </c>
      <c r="F9" s="3">
        <f>SUM(B9:E9)</f>
        <v>238000</v>
      </c>
      <c r="G9" s="3">
        <v>228846</v>
      </c>
      <c r="H9" s="2">
        <f>(F9-G9)/G9</f>
        <v>0.040000699160133886</v>
      </c>
      <c r="I9" t="str">
        <v>Manager development program launches company-wide in Q2</v>
      </c>
    </row>
    <row r="10">
      <c r="A10" t="str">
        <v>Facilities Allocation</v>
      </c>
      <c r="B10" s="3">
        <f>'Headcount Plan'!B8*Assumptions!$B$10</f>
        <v>96600</v>
      </c>
      <c r="C10" s="3">
        <f>'Headcount Plan'!C8*Assumptions!$B$10</f>
        <v>98700</v>
      </c>
      <c r="D10" s="3">
        <f>'Headcount Plan'!D8*Assumptions!$B$10</f>
        <v>100800</v>
      </c>
      <c r="E10" s="3">
        <f>'Headcount Plan'!E8*Assumptions!$B$10</f>
        <v>102900</v>
      </c>
      <c r="F10" s="3">
        <f>SUM(B10:E10)</f>
        <v>399000</v>
      </c>
      <c r="G10" s="3">
        <v>383654</v>
      </c>
      <c r="H10" s="2">
        <f>(F10-G10)/G10</f>
        <v>0.03999958295756072</v>
      </c>
    </row>
    <row r="11">
      <c r="A11" t="str">
        <v>Telecom &amp; Communications</v>
      </c>
      <c r="B11" s="3">
        <f>'Headcount Plan'!B8*Assumptions!$B$13</f>
        <v>8280</v>
      </c>
      <c r="C11" s="3">
        <f>'Headcount Plan'!C8*Assumptions!$B$13</f>
        <v>8460</v>
      </c>
      <c r="D11" s="3">
        <f>'Headcount Plan'!D8*Assumptions!$B$13</f>
        <v>8640</v>
      </c>
      <c r="E11" s="3">
        <f>'Headcount Plan'!E8*Assumptions!$B$13</f>
        <v>8820</v>
      </c>
      <c r="F11" s="3">
        <f>SUM(B11:E11)</f>
        <v>34200</v>
      </c>
      <c r="G11" s="3">
        <v>32885</v>
      </c>
      <c r="H11" s="2">
        <f>(F11-G11)/G11</f>
        <v>0.039987836399574275</v>
      </c>
    </row>
    <row r="12">
      <c r="A12" t="str">
        <v>Office Supplies &amp; Equipment</v>
      </c>
      <c r="B12" s="3">
        <v>3500</v>
      </c>
      <c r="C12" s="3">
        <v>3200</v>
      </c>
      <c r="D12" s="3">
        <v>3400</v>
      </c>
      <c r="E12" s="3">
        <v>3700</v>
      </c>
      <c r="F12" s="3">
        <f>SUM(B12:E12)</f>
        <v>13800</v>
      </c>
      <c r="G12" s="3">
        <v>13269</v>
      </c>
      <c r="H12" s="2">
        <f>(F12-G12)/G12</f>
        <v>0.040018087271082976</v>
      </c>
    </row>
    <row r="13">
      <c r="A13" t="str">
        <v>Recruiting &amp; Talent Acquisition</v>
      </c>
      <c r="B13" s="3">
        <v>220000</v>
      </c>
      <c r="C13" s="3">
        <v>200000</v>
      </c>
      <c r="D13" s="3">
        <v>240000</v>
      </c>
      <c r="E13" s="3">
        <v>260000</v>
      </c>
      <c r="F13" s="3">
        <f>SUM(B13:E13)</f>
        <v>920000</v>
      </c>
      <c r="G13" s="3">
        <v>884615</v>
      </c>
      <c r="H13" s="2">
        <f>(F13-G13)/G13</f>
        <v>0.04000045217410964</v>
      </c>
    </row>
    <row r="14">
      <c r="A14" t="str">
        <v>Other / Miscellaneous</v>
      </c>
      <c r="B14" s="3">
        <v>11000</v>
      </c>
      <c r="C14" s="3">
        <v>9500</v>
      </c>
      <c r="D14" s="3">
        <v>10500</v>
      </c>
      <c r="E14" s="3">
        <v>12000</v>
      </c>
      <c r="F14" s="3">
        <f>SUM(B14:E14)</f>
        <v>43000</v>
      </c>
      <c r="G14" s="3">
        <v>41346</v>
      </c>
      <c r="H14" s="2">
        <f>(F14-G14)/G14</f>
        <v>0.04000386978184105</v>
      </c>
    </row>
    <row r="15">
      <c r="A15" t="str">
        <v>Total OpEx</v>
      </c>
      <c r="B15" s="3">
        <f>SUM(B4:B14)</f>
        <v>2324920</v>
      </c>
      <c r="C15" s="3">
        <f>SUM(C4:C14)</f>
        <v>2336390</v>
      </c>
      <c r="D15" s="3">
        <f>SUM(D4:D14)</f>
        <v>2433860</v>
      </c>
      <c r="E15" s="3">
        <f>SUM(E4:E14)</f>
        <v>2510930</v>
      </c>
      <c r="F15" s="3">
        <f>SUM(B15:E15)</f>
        <v>9606100</v>
      </c>
      <c r="G15" s="3">
        <f>SUM(G4:G14)</f>
        <v>9236634</v>
      </c>
      <c r="H15" s="2">
        <f>(F15-G15)/G15</f>
        <v>0.04000006928931037</v>
      </c>
    </row>
    <row r="16">
      <c r="A16" t="str">
        <v>Capital Expenditures</v>
      </c>
      <c r="B16" s="3">
        <v>8000</v>
      </c>
      <c r="C16" s="3">
        <v>5000</v>
      </c>
      <c r="D16" s="3">
        <v>6000</v>
      </c>
      <c r="E16" s="3">
        <v>9000</v>
      </c>
      <c r="F16" s="3">
        <f>SUM(B16:E16)</f>
        <v>28000</v>
      </c>
      <c r="G16" s="3">
        <v>26923</v>
      </c>
      <c r="H16" s="2">
        <f>(F16-G16)/G16</f>
        <v>0.04000297143706125</v>
      </c>
    </row>
    <row r="17">
      <c r="A17" t="str">
        <v>Total Department Budget</v>
      </c>
      <c r="B17" s="3">
        <f>B15+B16</f>
        <v>2332920</v>
      </c>
      <c r="C17" s="3">
        <f>C15+C16</f>
        <v>2341390</v>
      </c>
      <c r="D17" s="3">
        <f>D15+D16</f>
        <v>2439860</v>
      </c>
      <c r="E17" s="3">
        <f>E15+E16</f>
        <v>2519930</v>
      </c>
      <c r="F17" s="3">
        <f>SUM(B17:E17)</f>
        <v>9634100</v>
      </c>
      <c r="G17" s="3">
        <f>G15+G16</f>
        <v>9263557</v>
      </c>
      <c r="H17" s="2">
        <f>(F17-G17)/G17</f>
        <v>0.04000007772392397</v>
      </c>
    </row>
  </sheetData>
  <ignoredErrors>
    <ignoredError numberStoredAsText="1" sqref="A1:I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Northbridge Financial Group — FY26 Budget — Corporate Services</v>
      </c>
    </row>
    <row r="3">
      <c r="A3" t="str">
        <v>Line Item</v>
      </c>
      <c r="B3" t="str">
        <v>Q1 Budget</v>
      </c>
      <c r="C3" t="str">
        <v>Q2 Budget</v>
      </c>
      <c r="D3" t="str">
        <v>Q3 Budget</v>
      </c>
      <c r="E3" t="str">
        <v>Q4 Budget</v>
      </c>
      <c r="F3" t="str">
        <v>FY26 Total</v>
      </c>
      <c r="G3" t="str">
        <v>FY25 Actual</v>
      </c>
      <c r="H3" t="str">
        <v>YoY Change %</v>
      </c>
      <c r="I3" t="str">
        <v>Notes</v>
      </c>
    </row>
    <row r="4">
      <c r="A4" t="str">
        <v>Salaries &amp; Wages</v>
      </c>
      <c r="B4" s="3">
        <f>'Headcount Plan'!F9</f>
        <v>1858500</v>
      </c>
      <c r="C4" s="3">
        <f>'Headcount Plan'!G9</f>
        <v>1888000</v>
      </c>
      <c r="D4" s="3">
        <f>'Headcount Plan'!H9</f>
        <v>1917500</v>
      </c>
      <c r="E4" s="3">
        <f>'Headcount Plan'!I9</f>
        <v>1947000</v>
      </c>
      <c r="F4" s="3">
        <f>SUM(B4:E4)</f>
        <v>7611000</v>
      </c>
      <c r="G4" s="3">
        <v>7248571</v>
      </c>
      <c r="H4" s="2">
        <f>(F4-G4)/G4</f>
        <v>0.05000006208120194</v>
      </c>
    </row>
    <row r="5">
      <c r="A5" t="str">
        <v>Payroll Taxes &amp; Benefits</v>
      </c>
      <c r="B5" s="3">
        <f>B4*Assumptions!$B$5</f>
        <v>594720</v>
      </c>
      <c r="C5" s="3">
        <f>C4*Assumptions!$B$5</f>
        <v>604160</v>
      </c>
      <c r="D5" s="3">
        <f>D4*Assumptions!$B$5</f>
        <v>613600</v>
      </c>
      <c r="E5" s="3">
        <f>E4*Assumptions!$B$5</f>
        <v>623040</v>
      </c>
      <c r="F5" s="3">
        <f>SUM(B5:E5)</f>
        <v>2435520</v>
      </c>
      <c r="G5" s="3">
        <v>2319543</v>
      </c>
      <c r="H5" s="2">
        <f>(F5-G5)/G5</f>
        <v>0.04999993533208912</v>
      </c>
    </row>
    <row r="6">
      <c r="A6" t="str">
        <v>Contractors &amp; Professional Services</v>
      </c>
      <c r="B6" s="3">
        <v>70000</v>
      </c>
      <c r="C6" s="3">
        <v>65000</v>
      </c>
      <c r="D6" s="3">
        <v>72000</v>
      </c>
      <c r="E6" s="3">
        <v>75000</v>
      </c>
      <c r="F6" s="3">
        <f>SUM(B6:E6)</f>
        <v>282000</v>
      </c>
      <c r="G6" s="3">
        <v>268571</v>
      </c>
      <c r="H6" s="2">
        <f>(F6-G6)/G6</f>
        <v>0.05000167553458862</v>
      </c>
    </row>
    <row r="7">
      <c r="A7" t="str">
        <v>Software &amp; Technology Subscriptions</v>
      </c>
      <c r="B7" s="3">
        <f>'Headcount Plan'!B9*Assumptions!$B$11</f>
        <v>75600</v>
      </c>
      <c r="C7" s="3">
        <f>'Headcount Plan'!C9*Assumptions!$B$11</f>
        <v>76800</v>
      </c>
      <c r="D7" s="3">
        <f>'Headcount Plan'!D9*Assumptions!$B$11</f>
        <v>78000</v>
      </c>
      <c r="E7" s="3">
        <f>'Headcount Plan'!E9*Assumptions!$B$11</f>
        <v>79200</v>
      </c>
      <c r="F7" s="3">
        <f>SUM(B7:E7)</f>
        <v>309600</v>
      </c>
      <c r="G7" s="3">
        <v>294857</v>
      </c>
      <c r="H7" s="2">
        <f>(F7-G7)/G7</f>
        <v>0.05000050872117671</v>
      </c>
    </row>
    <row r="8">
      <c r="A8" t="str">
        <v>Travel &amp; Entertainment</v>
      </c>
      <c r="B8" s="3">
        <f>'Headcount Plan'!B9*Assumptions!$B$9</f>
        <v>53550</v>
      </c>
      <c r="C8" s="3">
        <f>'Headcount Plan'!C9*Assumptions!$B$9</f>
        <v>54400</v>
      </c>
      <c r="D8" s="3">
        <f>'Headcount Plan'!D9*Assumptions!$B$9</f>
        <v>55250</v>
      </c>
      <c r="E8" s="3">
        <f>'Headcount Plan'!E9*Assumptions!$B$9</f>
        <v>56100</v>
      </c>
      <c r="F8" s="3">
        <f>SUM(B8:E8)</f>
        <v>219300</v>
      </c>
      <c r="G8" s="3">
        <v>208857</v>
      </c>
      <c r="H8" s="2">
        <f>(F8-G8)/G8</f>
        <v>0.050000718194745684</v>
      </c>
    </row>
    <row r="9">
      <c r="A9" t="str">
        <v>Training &amp; Development</v>
      </c>
      <c r="B9" s="3">
        <v>10000</v>
      </c>
      <c r="C9" s="3">
        <v>9000</v>
      </c>
      <c r="D9" s="3">
        <v>9500</v>
      </c>
      <c r="E9" s="3">
        <v>11000</v>
      </c>
      <c r="F9" s="3">
        <f>SUM(B9:E9)</f>
        <v>39500</v>
      </c>
      <c r="G9" s="3">
        <v>37619</v>
      </c>
      <c r="H9" s="2">
        <f>(F9-G9)/G9</f>
        <v>0.05000132911560647</v>
      </c>
    </row>
    <row r="10">
      <c r="A10" t="str">
        <v>Facilities Allocation</v>
      </c>
      <c r="B10" s="3">
        <f>'Headcount Plan'!B9*Assumptions!$B$10</f>
        <v>132300</v>
      </c>
      <c r="C10" s="3">
        <f>'Headcount Plan'!C9*Assumptions!$B$10</f>
        <v>134400</v>
      </c>
      <c r="D10" s="3">
        <f>'Headcount Plan'!D9*Assumptions!$B$10</f>
        <v>136500</v>
      </c>
      <c r="E10" s="3">
        <f>'Headcount Plan'!E9*Assumptions!$B$10</f>
        <v>138600</v>
      </c>
      <c r="F10" s="3">
        <f>SUM(B10:E10)</f>
        <v>541800</v>
      </c>
      <c r="G10" s="3">
        <v>516000</v>
      </c>
      <c r="H10" s="2">
        <f>(F10-G10)/G10</f>
        <v>0.05</v>
      </c>
    </row>
    <row r="11">
      <c r="A11" t="str">
        <v>Telecom &amp; Communications</v>
      </c>
      <c r="B11" s="3">
        <f>'Headcount Plan'!B9*Assumptions!$B$13</f>
        <v>11340</v>
      </c>
      <c r="C11" s="3">
        <f>'Headcount Plan'!C9*Assumptions!$B$13</f>
        <v>11520</v>
      </c>
      <c r="D11" s="3">
        <f>'Headcount Plan'!D9*Assumptions!$B$13</f>
        <v>11700</v>
      </c>
      <c r="E11" s="3">
        <f>'Headcount Plan'!E9*Assumptions!$B$13</f>
        <v>11880</v>
      </c>
      <c r="F11" s="3">
        <f>SUM(B11:E11)</f>
        <v>46440</v>
      </c>
      <c r="G11" s="3">
        <v>44229</v>
      </c>
      <c r="H11" s="2">
        <f>(F11-G11)/G11</f>
        <v>0.049989825679983724</v>
      </c>
    </row>
    <row r="12">
      <c r="A12" t="str">
        <v>Office Supplies &amp; Equipment</v>
      </c>
      <c r="B12" s="3">
        <v>12000</v>
      </c>
      <c r="C12" s="3">
        <v>11500</v>
      </c>
      <c r="D12" s="3">
        <v>11800</v>
      </c>
      <c r="E12" s="3">
        <v>12500</v>
      </c>
      <c r="F12" s="3">
        <f>SUM(B12:E12)</f>
        <v>47800</v>
      </c>
      <c r="G12" s="3">
        <v>45524</v>
      </c>
      <c r="H12" s="2">
        <f>(F12-G12)/G12</f>
        <v>0.04999560671294263</v>
      </c>
    </row>
    <row r="13">
      <c r="A13" t="str">
        <v>Corporate Insurance, Legal &amp; Facilities</v>
      </c>
      <c r="B13" s="3">
        <v>380000</v>
      </c>
      <c r="C13" s="3">
        <v>390000</v>
      </c>
      <c r="D13" s="3">
        <v>400000</v>
      </c>
      <c r="E13" s="3">
        <v>410000</v>
      </c>
      <c r="F13" s="3">
        <f>SUM(B13:E13)</f>
        <v>1580000</v>
      </c>
      <c r="G13" s="3">
        <v>1504762</v>
      </c>
      <c r="H13" s="2">
        <f>(F13-G13)/G13</f>
        <v>0.049999933544308005</v>
      </c>
    </row>
    <row r="14">
      <c r="A14" t="str">
        <v>Other / Miscellaneous</v>
      </c>
      <c r="B14" s="3">
        <v>18000</v>
      </c>
      <c r="C14" s="3">
        <v>16000</v>
      </c>
      <c r="D14" s="3">
        <v>17000</v>
      </c>
      <c r="E14" s="3">
        <v>19000</v>
      </c>
      <c r="F14" s="3">
        <f>SUM(B14:E14)</f>
        <v>70000</v>
      </c>
      <c r="G14" s="3">
        <v>66667</v>
      </c>
      <c r="H14" s="2">
        <f>(F14-G14)/G14</f>
        <v>0.04999475002624987</v>
      </c>
      <c r="I14" t="str">
        <v>General liability insurance premium true-up</v>
      </c>
    </row>
    <row r="15">
      <c r="A15" t="str">
        <v>Total OpEx</v>
      </c>
      <c r="B15" s="3">
        <f>SUM(B4:B14)</f>
        <v>3216010</v>
      </c>
      <c r="C15" s="3">
        <f>SUM(C4:C14)</f>
        <v>3260780</v>
      </c>
      <c r="D15" s="3">
        <f>SUM(D4:D14)</f>
        <v>3322850</v>
      </c>
      <c r="E15" s="3">
        <f>SUM(E4:E14)</f>
        <v>3383320</v>
      </c>
      <c r="F15" s="3">
        <f>SUM(B15:E15)</f>
        <v>13182960</v>
      </c>
      <c r="G15" s="3">
        <f>SUM(G4:G14)</f>
        <v>12555200</v>
      </c>
      <c r="H15" s="2">
        <f>(F15-G15)/G15</f>
        <v>0.05</v>
      </c>
    </row>
    <row r="16">
      <c r="A16" t="str">
        <v>Capital Expenditures</v>
      </c>
      <c r="B16" s="3">
        <v>35000</v>
      </c>
      <c r="C16" s="3">
        <v>20000</v>
      </c>
      <c r="D16" s="3">
        <v>25000</v>
      </c>
      <c r="E16" s="3">
        <v>40000</v>
      </c>
      <c r="F16" s="3">
        <f>SUM(B16:E16)</f>
        <v>120000</v>
      </c>
      <c r="G16" s="3">
        <v>114286</v>
      </c>
      <c r="H16" s="2">
        <f>(F16-G16)/G16</f>
        <v>0.04999737500656248</v>
      </c>
    </row>
    <row r="17">
      <c r="A17" t="str">
        <v>Total Department Budget</v>
      </c>
      <c r="B17" s="3">
        <f>B15+B16</f>
        <v>3251010</v>
      </c>
      <c r="C17" s="3">
        <f>C15+C16</f>
        <v>3280780</v>
      </c>
      <c r="D17" s="3">
        <f>D15+D16</f>
        <v>3347850</v>
      </c>
      <c r="E17" s="3">
        <f>E15+E16</f>
        <v>3423320</v>
      </c>
      <c r="F17" s="3">
        <f>SUM(B17:E17)</f>
        <v>13302960</v>
      </c>
      <c r="G17" s="3">
        <f>G15+G16</f>
        <v>12669486</v>
      </c>
      <c r="H17" s="2">
        <f>(F17-G17)/G17</f>
        <v>0.04999997632105991</v>
      </c>
    </row>
  </sheetData>
  <ignoredErrors>
    <ignoredError numberStoredAsText="1" sqref="A1:I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Northbridge Financial Group — FY26 Budget Summary</v>
      </c>
    </row>
    <row r="3">
      <c r="A3" t="str">
        <v>Department</v>
      </c>
      <c r="B3" t="str">
        <v>FY26 Budget</v>
      </c>
      <c r="C3" t="str">
        <v>FY25 Actual</v>
      </c>
      <c r="D3" t="str">
        <v>YoY Change %</v>
      </c>
      <c r="E3" t="str">
        <v>% of Total Budget</v>
      </c>
    </row>
    <row r="4">
      <c r="A4" t="str">
        <v>Technology</v>
      </c>
      <c r="B4" s="3">
        <f>'Technology'!F17</f>
        <v>38449560</v>
      </c>
      <c r="C4" s="3">
        <f>'Technology'!G17</f>
        <v>35601443</v>
      </c>
      <c r="D4" s="2">
        <f>(B4-C4)/C4</f>
        <v>0.0800000438184486</v>
      </c>
      <c r="E4" s="2">
        <f>B4/B10</f>
        <v>0.15356715214944552</v>
      </c>
    </row>
    <row r="5">
      <c r="A5" t="str">
        <v>Retail Banking Ops</v>
      </c>
      <c r="B5" s="3">
        <f>'Retail Banking Ops'!F17</f>
        <v>158449300</v>
      </c>
      <c r="C5" s="3">
        <f>'Retail Banking Ops'!G17</f>
        <v>153834271</v>
      </c>
      <c r="D5" s="2">
        <f>(B5-C5)/C5</f>
        <v>0.03000000565543682</v>
      </c>
      <c r="E5" s="2">
        <f>B5/B10</f>
        <v>0.632844895002001</v>
      </c>
    </row>
    <row r="6">
      <c r="A6" t="str">
        <v>Risk &amp; Compliance</v>
      </c>
      <c r="B6" s="3">
        <f>'Risk &amp; Compliance'!F17</f>
        <v>16650220</v>
      </c>
      <c r="C6" s="3">
        <f>'Risk &amp; Compliance'!G17</f>
        <v>14866269</v>
      </c>
      <c r="D6" s="2">
        <f>(B6-C6)/C6</f>
        <v>0.11999991389904219</v>
      </c>
      <c r="E6" s="2">
        <f>B6/B10</f>
        <v>0.0665008095817414</v>
      </c>
    </row>
    <row r="7">
      <c r="A7" t="str">
        <v>Marketing</v>
      </c>
      <c r="B7" s="3">
        <f>'Marketing'!F17</f>
        <v>13890060</v>
      </c>
      <c r="C7" s="3">
        <f>'Marketing'!G17</f>
        <v>13103829</v>
      </c>
      <c r="D7" s="2">
        <f>(B7-C7)/C7</f>
        <v>0.06000009615510093</v>
      </c>
      <c r="E7" s="2">
        <f>B7/B10</f>
        <v>0.0554767585736983</v>
      </c>
    </row>
    <row r="8">
      <c r="A8" t="str">
        <v>Human Resources</v>
      </c>
      <c r="B8" s="3">
        <f>'Human Resources'!F17</f>
        <v>9634100</v>
      </c>
      <c r="C8" s="3">
        <f>'Human Resources'!G17</f>
        <v>9263557</v>
      </c>
      <c r="D8" s="2">
        <f>(B8-C8)/C8</f>
        <v>0.04000007772392397</v>
      </c>
      <c r="E8" s="2">
        <f>B8/B10</f>
        <v>0.03847849755687641</v>
      </c>
    </row>
    <row r="9">
      <c r="A9" t="str">
        <v>Corporate Services</v>
      </c>
      <c r="B9" s="3">
        <f>'Corporate Services'!F17</f>
        <v>13302960</v>
      </c>
      <c r="C9" s="3">
        <f>'Corporate Services'!G17</f>
        <v>12669486</v>
      </c>
      <c r="D9" s="2">
        <f>(B9-C9)/C9</f>
        <v>0.04999997632105991</v>
      </c>
      <c r="E9" s="2">
        <f>B9/B10</f>
        <v>0.05313188713623739</v>
      </c>
    </row>
    <row r="10">
      <c r="A10" t="str">
        <v>Grand Total</v>
      </c>
      <c r="B10" s="3">
        <f>SUM(B4:B9)</f>
        <v>250376200</v>
      </c>
      <c r="C10" s="3">
        <f>SUM(C4:C9)</f>
        <v>239338855</v>
      </c>
      <c r="D10" s="2">
        <f>(B10-C10)/C10</f>
        <v>0.04611597644686651</v>
      </c>
    </row>
    <row r="12">
      <c r="A12" t="str">
        <v>OpEx vs CapEx Breakdown</v>
      </c>
    </row>
    <row r="13">
      <c r="A13" t="str">
        <v>Category</v>
      </c>
      <c r="B13" t="str">
        <v>FY26 Budget</v>
      </c>
    </row>
    <row r="14">
      <c r="A14" t="str">
        <v>Total OpEx</v>
      </c>
      <c r="B14" s="3">
        <f>'Technology'!F15+'Retail Banking Ops'!F15+'Risk &amp; Compliance'!F15+'Marketing'!F15+'Human Resources'!F15+'Corporate Services'!F15</f>
        <v>248513200</v>
      </c>
    </row>
    <row r="15">
      <c r="A15" t="str">
        <v>Total CapEx</v>
      </c>
      <c r="B15" s="3">
        <f>'Technology'!F16+'Retail Banking Ops'!F16+'Risk &amp; Compliance'!F16+'Marketing'!F16+'Human Resources'!F16+'Corporate Services'!F16</f>
        <v>1863000</v>
      </c>
    </row>
    <row r="16">
      <c r="A16" t="str">
        <v>Total FY26 Budget</v>
      </c>
      <c r="B16" s="3">
        <f>B14+B15</f>
        <v>250376200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Headcount Plan</vt:lpstr>
      <vt:lpstr>Technology</vt:lpstr>
      <vt:lpstr>Retail Banking Ops</vt:lpstr>
      <vt:lpstr>Risk &amp; Compliance</vt:lpstr>
      <vt:lpstr>Marketing</vt:lpstr>
      <vt:lpstr>Human Resources</vt:lpstr>
      <vt:lpstr>Corporate Services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