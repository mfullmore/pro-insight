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FnTests" state="visible" r:id="rId5"/>
    <sheet sheetId="3" name="CircularTest" state="visible" r:id="rId6"/>
  </sheets>
  <calcPr calcId="171027"/>
</workbook>
</file>

<file path=xl/sharedStrings.xml><?xml version="1.0" encoding="utf-8"?>
<sst xmlns="http://schemas.openxmlformats.org/spreadsheetml/2006/main" count="49" uniqueCount="36">
  <si>
    <t>Category</t>
  </si>
  <si>
    <t>Dept</t>
  </si>
  <si>
    <t>Quarter</t>
  </si>
  <si>
    <t>Amount</t>
  </si>
  <si>
    <t>Cloud Infra</t>
  </si>
  <si>
    <t>Engineering</t>
  </si>
  <si>
    <t>Q1</t>
  </si>
  <si>
    <t>Q2</t>
  </si>
  <si>
    <t>Q3</t>
  </si>
  <si>
    <t>Q4</t>
  </si>
  <si>
    <t>Contractor</t>
  </si>
  <si>
    <t>Digital Ads</t>
  </si>
  <si>
    <t>Marketing</t>
  </si>
  <si>
    <t>CRM</t>
  </si>
  <si>
    <t>Sales</t>
  </si>
  <si>
    <t>Test</t>
  </si>
  <si>
    <t>Result</t>
  </si>
  <si>
    <t>SUMIFS Engineering+Q1</t>
  </si>
  <si>
    <t>COUNTIFS Marketing</t>
  </si>
  <si>
    <t>SUMIF Sales</t>
  </si>
  <si>
    <t>AVERAGEIF Engineering</t>
  </si>
  <si>
    <t>IFERROR on failed VLOOKUP</t>
  </si>
  <si>
    <t>IFERROR on div/0</t>
  </si>
  <si>
    <t>ISERROR on div/0</t>
  </si>
  <si>
    <t>ROUND</t>
  </si>
  <si>
    <t>ROUNDUP</t>
  </si>
  <si>
    <t>ROUNDDOWN</t>
  </si>
  <si>
    <t>DATE serial</t>
  </si>
  <si>
    <t>EOMONTH</t>
  </si>
  <si>
    <t>YEAR</t>
  </si>
  <si>
    <t>MONTH</t>
  </si>
  <si>
    <t>Quarter bucketing</t>
  </si>
  <si>
    <t>OFFSET into Data</t>
  </si>
  <si>
    <t>INDIRECT ref</t>
  </si>
  <si>
    <t>Structured table ref SUM</t>
  </si>
  <si>
    <t>External workbook ref (should fail loudly)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</si>
</sst>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BudgetTable" displayName="BudgetTable" ref="A1:D9" totalsRowShown="1" headerRowCount="1">
  <autoFilter ref="A1:D9">
    <filterColumn colId="0" hiddenButton="1"/>
    <filterColumn colId="1" hiddenButton="1"/>
    <filterColumn colId="2" hiddenButton="1"/>
    <filterColumn colId="3" hiddenButton="1"/>
  </autoFilter>
  <tableColumns count="4">
    <tableColumn id="1" name="Category" totalsRowLabel="Total"/>
    <tableColumn id="2" name="Dept" totalsRowFunction="none"/>
    <tableColumn id="3" name="Quarter" totalsRowFunction="none"/>
    <tableColumn id="4" name="Amoun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8000</v>
      </c>
    </row>
    <row r="3" spans="1:4" x14ac:dyDescent="0.25">
      <c r="A3" t="s">
        <v>4</v>
      </c>
      <c r="B3" t="s">
        <v>5</v>
      </c>
      <c r="C3" t="s">
        <v>7</v>
      </c>
      <c r="D3">
        <v>8000</v>
      </c>
    </row>
    <row r="4" spans="1:4" x14ac:dyDescent="0.25">
      <c r="A4" t="s">
        <v>4</v>
      </c>
      <c r="B4" t="s">
        <v>5</v>
      </c>
      <c r="C4" t="s">
        <v>8</v>
      </c>
      <c r="D4">
        <v>8000</v>
      </c>
    </row>
    <row r="5" spans="1:4" x14ac:dyDescent="0.25">
      <c r="A5" t="s">
        <v>4</v>
      </c>
      <c r="B5" t="s">
        <v>5</v>
      </c>
      <c r="C5" t="s">
        <v>9</v>
      </c>
      <c r="D5">
        <v>8000</v>
      </c>
    </row>
    <row r="6" spans="1:4" x14ac:dyDescent="0.25">
      <c r="A6" t="s">
        <v>10</v>
      </c>
      <c r="B6" t="s">
        <v>5</v>
      </c>
      <c r="C6" t="s">
        <v>6</v>
      </c>
      <c r="D6">
        <v>45000</v>
      </c>
    </row>
    <row r="7" spans="1:4" x14ac:dyDescent="0.25">
      <c r="A7" t="s">
        <v>11</v>
      </c>
      <c r="B7" t="s">
        <v>12</v>
      </c>
      <c r="C7" t="s">
        <v>6</v>
      </c>
      <c r="D7">
        <v>5000</v>
      </c>
    </row>
    <row r="8" spans="1:4" x14ac:dyDescent="0.25">
      <c r="A8" t="s">
        <v>11</v>
      </c>
      <c r="B8" t="s">
        <v>12</v>
      </c>
      <c r="C8" t="s">
        <v>7</v>
      </c>
      <c r="D8">
        <v>5000</v>
      </c>
    </row>
    <row r="9" spans="1:4" x14ac:dyDescent="0.25">
      <c r="A9" t="s">
        <v>13</v>
      </c>
      <c r="B9" t="s">
        <v>14</v>
      </c>
      <c r="C9" t="s">
        <v>6</v>
      </c>
      <c r="D9">
        <v>48000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>
        <f>SUMIFS(Data!D:D,Data!B:B,"Engineering",Data!C:C,"Q1")</f>
        <v>53000</v>
      </c>
    </row>
    <row r="3" spans="1:2" x14ac:dyDescent="0.25">
      <c r="A3" t="s">
        <v>18</v>
      </c>
      <c r="B3">
        <f>COUNTIFS(Data!B:B,"Marketing")</f>
        <v>2</v>
      </c>
    </row>
    <row r="4" spans="1:2" x14ac:dyDescent="0.25">
      <c r="A4" t="s">
        <v>19</v>
      </c>
      <c r="B4">
        <f>SUMIF(Data!B:B,"Sales",Data!D:D)</f>
        <v>48000</v>
      </c>
    </row>
    <row r="5" spans="1:2" x14ac:dyDescent="0.25">
      <c r="A5" t="s">
        <v>20</v>
      </c>
      <c r="B5">
        <f>AVERAGEIF(Data!B:B,"Engineering",Data!D:D)</f>
        <v>15400</v>
      </c>
    </row>
    <row r="6" spans="1:2" x14ac:dyDescent="0.25">
      <c r="A6" t="s">
        <v>21</v>
      </c>
      <c r="B6" t="str">
        <f>IFERROR(VLOOKUP("Nope",Data!A:A,1,FALSE),"NOT FOUND")</f>
        <v>NOT FOUND</v>
      </c>
    </row>
    <row r="7" spans="1:2" x14ac:dyDescent="0.25">
      <c r="A7" t="s">
        <v>22</v>
      </c>
      <c r="B7" t="str">
        <f>IFERROR(1/0,"DIV ERROR")</f>
        <v>DIV ERROR</v>
      </c>
    </row>
    <row r="8" spans="1:2" x14ac:dyDescent="0.25">
      <c r="A8" t="s">
        <v>23</v>
      </c>
      <c r="B8" t="b">
        <f>ISERROR(1/0)</f>
        <v>1</v>
      </c>
    </row>
    <row r="9" spans="1:2" x14ac:dyDescent="0.25">
      <c r="A9" t="s">
        <v>24</v>
      </c>
      <c r="B9">
        <f>ROUND(1234.5678,2)</f>
        <v>1234.57</v>
      </c>
    </row>
    <row r="10" spans="1:2" x14ac:dyDescent="0.25">
      <c r="A10" t="s">
        <v>25</v>
      </c>
      <c r="B10">
        <f>ROUNDUP(1234.561,2)</f>
        <v>1234.57</v>
      </c>
    </row>
    <row r="11" spans="1:2" x14ac:dyDescent="0.25">
      <c r="A11" t="s">
        <v>26</v>
      </c>
      <c r="B11">
        <f>ROUNDDOWN(1234.569,2)</f>
        <v>1234.56</v>
      </c>
    </row>
    <row r="12" spans="1:2" x14ac:dyDescent="0.25">
      <c r="A12" t="s">
        <v>27</v>
      </c>
      <c r="B12">
        <f>DATE(2026,3,15)</f>
        <v>46096</v>
      </c>
    </row>
    <row r="13" spans="1:2" x14ac:dyDescent="0.25">
      <c r="A13" t="s">
        <v>28</v>
      </c>
      <c r="B13">
        <f>EOMONTH(DATE(2026,3,15),0)</f>
        <v>46112</v>
      </c>
    </row>
    <row r="14" spans="1:2" x14ac:dyDescent="0.25">
      <c r="A14" t="s">
        <v>29</v>
      </c>
      <c r="B14">
        <f>YEAR(DATE(2026,3,15))</f>
        <v>2026</v>
      </c>
    </row>
    <row r="15" spans="1:2" x14ac:dyDescent="0.25">
      <c r="A15" t="s">
        <v>30</v>
      </c>
      <c r="B15">
        <f>MONTH(DATE(2026,3,15))</f>
        <v>3</v>
      </c>
    </row>
    <row r="16" spans="1:2" x14ac:dyDescent="0.25">
      <c r="A16" t="s">
        <v>31</v>
      </c>
      <c r="B16">
        <f>ROUNDUP(MONTH(DATE(2026,3,15))/3,0)</f>
        <v>1</v>
      </c>
    </row>
    <row r="17" spans="1:2" x14ac:dyDescent="0.25">
      <c r="A17" t="s">
        <v>32</v>
      </c>
      <c r="B17">
        <f>OFFSET(Data!A1,1,3)</f>
        <v>8000</v>
      </c>
    </row>
    <row r="18" spans="1:2" x14ac:dyDescent="0.25">
      <c r="A18" t="s">
        <v>33</v>
      </c>
      <c r="B18">
        <f>INDIRECT("Data!D2")</f>
        <v>8000</v>
      </c>
    </row>
    <row r="19" spans="1:2" x14ac:dyDescent="0.25">
      <c r="A19" t="s">
        <v>34</v>
      </c>
      <c r="B19">
        <f>SUM(BudgetTable[Amount])</f>
        <v>135000</v>
      </c>
    </row>
    <row r="20" spans="1:2" x14ac:dyDescent="0.25">
      <c r="A20" t="s">
        <v>35</v>
      </c>
      <c r="B20" t="str">
        <f>'[OtherBudget.xlsx]Sheet1'!A1</f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tr">
        <f>A2+1</f>
        <v>#CYCLE!</v>
      </c>
    </row>
    <row r="2" spans="1:1" x14ac:dyDescent="0.25">
      <c r="A2" t="str">
        <f>A1+1</f>
        <v>#CYCLE!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FnTests</vt:lpstr>
      <vt:lpstr>CircularTest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2026-08-01T23:42:14Z</dcterms:created>
  <dcterms:modified xsi:type="dcterms:W3CDTF">2026-08-01T23:42:14Z</dcterms:modified>
</cp:coreProperties>
</file>