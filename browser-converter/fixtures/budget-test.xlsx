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  <sheet sheetId="2" name="Engineering" state="visible" r:id="rId5"/>
    <sheet sheetId="3" name="Marketing" state="visible" r:id="rId6"/>
    <sheet sheetId="4" name="Sales" state="visible" r:id="rId7"/>
    <sheet sheetId="5" name="Summary" state="visible" r:id="rId8"/>
  </sheets>
  <definedNames>
    <definedName name="TotalBudget">Summary!$B$6</definedName>
    <definedName name="ApprovedBudget">Summary!$B$7</definedName>
  </definedNames>
  <calcPr calcId="171027"/>
</workbook>
</file>

<file path=xl/sharedStrings.xml><?xml version="1.0" encoding="utf-8"?>
<sst xmlns="http://schemas.openxmlformats.org/spreadsheetml/2006/main" count="92" uniqueCount="47">
  <si>
    <t>Code</t>
  </si>
  <si>
    <t>Overhead Rate</t>
  </si>
  <si>
    <t>ENG</t>
  </si>
  <si>
    <t>MKT</t>
  </si>
  <si>
    <t>SLS</t>
  </si>
  <si>
    <t>Category</t>
  </si>
  <si>
    <t>Vendor</t>
  </si>
  <si>
    <t>Qty</t>
  </si>
  <si>
    <t>Unit Cost</t>
  </si>
  <si>
    <t>Cost Center Code</t>
  </si>
  <si>
    <t>Line Total</t>
  </si>
  <si>
    <t>Cloud Infrastructure</t>
  </si>
  <si>
    <t>AWS</t>
  </si>
  <si>
    <t>Contractor Staffing</t>
  </si>
  <si>
    <t>Acme Contracting</t>
  </si>
  <si>
    <t>Software Licenses</t>
  </si>
  <si>
    <t>JetBrains</t>
  </si>
  <si>
    <t>Hardware</t>
  </si>
  <si>
    <t>Dell</t>
  </si>
  <si>
    <t>Subtotal</t>
  </si>
  <si>
    <t/>
  </si>
  <si>
    <t>Digital Ads</t>
  </si>
  <si>
    <t>Google Ads</t>
  </si>
  <si>
    <t>Content Agency</t>
  </si>
  <si>
    <t>Contently</t>
  </si>
  <si>
    <t>Events &amp; Conferences</t>
  </si>
  <si>
    <t>Various</t>
  </si>
  <si>
    <t>Marketing Software</t>
  </si>
  <si>
    <t>HubSpot</t>
  </si>
  <si>
    <t>CRM Software</t>
  </si>
  <si>
    <t>Salesforce</t>
  </si>
  <si>
    <t>Sales Commission Pool</t>
  </si>
  <si>
    <t>N/A</t>
  </si>
  <si>
    <t>Travel &amp; Entertainment</t>
  </si>
  <si>
    <t>Sales Enablement Tools</t>
  </si>
  <si>
    <t>Gong</t>
  </si>
  <si>
    <t>Budget Summary</t>
  </si>
  <si>
    <t>Department</t>
  </si>
  <si>
    <t>Engineering</t>
  </si>
  <si>
    <t>Marketing</t>
  </si>
  <si>
    <t>Sales</t>
  </si>
  <si>
    <t>Total Budget</t>
  </si>
  <si>
    <t>Approved Budget</t>
  </si>
  <si>
    <t>Variance</t>
  </si>
  <si>
    <t>Variance %</t>
  </si>
  <si>
    <t>Status</t>
  </si>
  <si>
    <t>Highest Spending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</si>
</sst>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0.15</v>
      </c>
    </row>
    <row r="3" spans="1:2" x14ac:dyDescent="0.25">
      <c r="A3" t="s">
        <v>3</v>
      </c>
      <c r="B3">
        <v>0.12</v>
      </c>
    </row>
    <row r="4" spans="1:2" x14ac:dyDescent="0.25">
      <c r="A4" t="s">
        <v>4</v>
      </c>
      <c r="B4">
        <v>0.18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  <row r="2" spans="1:7" x14ac:dyDescent="0.25">
      <c r="A2" t="s">
        <v>11</v>
      </c>
      <c r="B2" t="s">
        <v>12</v>
      </c>
      <c r="C2">
        <v>12</v>
      </c>
      <c r="D2">
        <v>8000</v>
      </c>
      <c r="E2" t="s">
        <v>2</v>
      </c>
      <c r="F2">
        <f>VLOOKUP(E2,Rates!A:B,2,FALSE)</f>
        <v>0.15</v>
      </c>
      <c r="G2">
        <f>C2*D2*(1+F2)</f>
        <v>110400</v>
      </c>
    </row>
    <row r="3" spans="1:7" x14ac:dyDescent="0.25">
      <c r="A3" t="s">
        <v>13</v>
      </c>
      <c r="B3" t="s">
        <v>14</v>
      </c>
      <c r="C3">
        <v>3</v>
      </c>
      <c r="D3">
        <v>45000</v>
      </c>
      <c r="E3" t="s">
        <v>2</v>
      </c>
      <c r="F3">
        <f>VLOOKUP(E3,Rates!A:B,2,FALSE)</f>
        <v>0.15</v>
      </c>
      <c r="G3">
        <f>C3*D3*(1+F3)</f>
        <v>155250</v>
      </c>
    </row>
    <row r="4" spans="1:7" x14ac:dyDescent="0.25">
      <c r="A4" t="s">
        <v>15</v>
      </c>
      <c r="B4" t="s">
        <v>16</v>
      </c>
      <c r="C4">
        <v>50</v>
      </c>
      <c r="D4">
        <v>200</v>
      </c>
      <c r="E4" t="s">
        <v>2</v>
      </c>
      <c r="F4">
        <f>VLOOKUP(E4,Rates!A:B,2,FALSE)</f>
        <v>0.15</v>
      </c>
      <c r="G4">
        <f>C4*D4*(1+F4)</f>
        <v>11500</v>
      </c>
    </row>
    <row r="5" spans="1:7" x14ac:dyDescent="0.25">
      <c r="A5" t="s">
        <v>17</v>
      </c>
      <c r="B5" t="s">
        <v>18</v>
      </c>
      <c r="C5">
        <v>20</v>
      </c>
      <c r="D5">
        <v>1800</v>
      </c>
      <c r="E5" t="s">
        <v>2</v>
      </c>
      <c r="F5">
        <f>VLOOKUP(E5,Rates!A:B,2,FALSE)</f>
        <v>0.15</v>
      </c>
      <c r="G5">
        <f>C5*D5*(1+F5)</f>
        <v>41400</v>
      </c>
    </row>
    <row r="6" spans="1:7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>
        <f>SUM(G2:G5)</f>
        <v>318550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  <row r="2" spans="1:7" x14ac:dyDescent="0.25">
      <c r="A2" t="s">
        <v>21</v>
      </c>
      <c r="B2" t="s">
        <v>22</v>
      </c>
      <c r="C2">
        <v>12</v>
      </c>
      <c r="D2">
        <v>5000</v>
      </c>
      <c r="E2" t="s">
        <v>3</v>
      </c>
      <c r="F2">
        <f>VLOOKUP(E2,Rates!A:B,2,FALSE)</f>
        <v>0.12</v>
      </c>
      <c r="G2">
        <f>C2*D2*(1+F2)</f>
        <v>67200</v>
      </c>
    </row>
    <row r="3" spans="1:7" x14ac:dyDescent="0.25">
      <c r="A3" t="s">
        <v>23</v>
      </c>
      <c r="B3" t="s">
        <v>24</v>
      </c>
      <c r="C3">
        <v>12</v>
      </c>
      <c r="D3">
        <v>3000</v>
      </c>
      <c r="E3" t="s">
        <v>3</v>
      </c>
      <c r="F3">
        <f>VLOOKUP(E3,Rates!A:B,2,FALSE)</f>
        <v>0.12</v>
      </c>
      <c r="G3">
        <f>C3*D3*(1+F3)</f>
        <v>40320</v>
      </c>
    </row>
    <row r="4" spans="1:7" x14ac:dyDescent="0.25">
      <c r="A4" t="s">
        <v>25</v>
      </c>
      <c r="B4" t="s">
        <v>26</v>
      </c>
      <c r="C4">
        <v>4</v>
      </c>
      <c r="D4">
        <v>15000</v>
      </c>
      <c r="E4" t="s">
        <v>3</v>
      </c>
      <c r="F4">
        <f>VLOOKUP(E4,Rates!A:B,2,FALSE)</f>
        <v>0.12</v>
      </c>
      <c r="G4">
        <f>C4*D4*(1+F4)</f>
        <v>67200</v>
      </c>
    </row>
    <row r="5" spans="1:7" x14ac:dyDescent="0.25">
      <c r="A5" t="s">
        <v>27</v>
      </c>
      <c r="B5" t="s">
        <v>28</v>
      </c>
      <c r="C5">
        <v>1</v>
      </c>
      <c r="D5">
        <v>24000</v>
      </c>
      <c r="E5" t="s">
        <v>3</v>
      </c>
      <c r="F5">
        <f>VLOOKUP(E5,Rates!A:B,2,FALSE)</f>
        <v>0.12</v>
      </c>
      <c r="G5">
        <f>C5*D5*(1+F5)</f>
        <v>26880</v>
      </c>
    </row>
    <row r="6" spans="1:7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>
        <f>SUM(G2:G5)</f>
        <v>201600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  <row r="2" spans="1:7" x14ac:dyDescent="0.25">
      <c r="A2" t="s">
        <v>29</v>
      </c>
      <c r="B2" t="s">
        <v>30</v>
      </c>
      <c r="C2">
        <v>1</v>
      </c>
      <c r="D2">
        <v>48000</v>
      </c>
      <c r="E2" t="s">
        <v>4</v>
      </c>
      <c r="F2">
        <f>VLOOKUP(E2,Rates!A:B,2,FALSE)</f>
        <v>0.18</v>
      </c>
      <c r="G2">
        <f>C2*D2*(1+F2)</f>
        <v>56640</v>
      </c>
    </row>
    <row r="3" spans="1:7" x14ac:dyDescent="0.25">
      <c r="A3" t="s">
        <v>31</v>
      </c>
      <c r="B3" t="s">
        <v>32</v>
      </c>
      <c r="C3">
        <v>1</v>
      </c>
      <c r="D3">
        <v>220000</v>
      </c>
      <c r="E3" t="s">
        <v>4</v>
      </c>
      <c r="F3">
        <f>VLOOKUP(E3,Rates!A:B,2,FALSE)</f>
        <v>0.18</v>
      </c>
      <c r="G3">
        <f>C3*D3*(1+F3)</f>
        <v>259600</v>
      </c>
    </row>
    <row r="4" spans="1:7" x14ac:dyDescent="0.25">
      <c r="A4" t="s">
        <v>33</v>
      </c>
      <c r="B4" t="s">
        <v>26</v>
      </c>
      <c r="C4">
        <v>1</v>
      </c>
      <c r="D4">
        <v>35000</v>
      </c>
      <c r="E4" t="s">
        <v>4</v>
      </c>
      <c r="F4">
        <f>VLOOKUP(E4,Rates!A:B,2,FALSE)</f>
        <v>0.18</v>
      </c>
      <c r="G4">
        <f>C4*D4*(1+F4)</f>
        <v>41300</v>
      </c>
    </row>
    <row r="5" spans="1:7" x14ac:dyDescent="0.25">
      <c r="A5" t="s">
        <v>34</v>
      </c>
      <c r="B5" t="s">
        <v>35</v>
      </c>
      <c r="C5">
        <v>1</v>
      </c>
      <c r="D5">
        <v>18000</v>
      </c>
      <c r="E5" t="s">
        <v>4</v>
      </c>
      <c r="F5">
        <f>VLOOKUP(E5,Rates!A:B,2,FALSE)</f>
        <v>0.18</v>
      </c>
      <c r="G5">
        <f>C5*D5*(1+F5)</f>
        <v>21240</v>
      </c>
    </row>
    <row r="6" spans="1:7" x14ac:dyDescent="0.25">
      <c r="A6" t="s">
        <v>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>
        <f>SUM(G2:G5)</f>
        <v>378780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36</v>
      </c>
    </row>
    <row r="2" spans="1:2" x14ac:dyDescent="0.25">
      <c r="A2" t="s">
        <v>37</v>
      </c>
      <c r="B2" t="s">
        <v>19</v>
      </c>
    </row>
    <row r="3" spans="1:2" x14ac:dyDescent="0.25">
      <c r="A3" t="s">
        <v>38</v>
      </c>
      <c r="B3">
        <f>Engineering!G6</f>
        <v>318550</v>
      </c>
    </row>
    <row r="4" spans="1:2" x14ac:dyDescent="0.25">
      <c r="A4" t="s">
        <v>39</v>
      </c>
      <c r="B4">
        <f>Marketing!G6</f>
        <v>201600</v>
      </c>
    </row>
    <row r="5" spans="1:2" x14ac:dyDescent="0.25">
      <c r="A5" t="s">
        <v>40</v>
      </c>
      <c r="B5">
        <f>Sales!G6</f>
        <v>378780</v>
      </c>
    </row>
    <row r="6" spans="1:2" x14ac:dyDescent="0.25">
      <c r="A6" t="s">
        <v>41</v>
      </c>
      <c r="B6">
        <f>SUM(B3:B5)</f>
        <v>898930</v>
      </c>
    </row>
    <row r="7" spans="1:2" x14ac:dyDescent="0.25">
      <c r="A7" t="s">
        <v>42</v>
      </c>
      <c r="B7">
        <v>850000</v>
      </c>
    </row>
    <row r="8" spans="1:2" x14ac:dyDescent="0.25">
      <c r="A8" t="s">
        <v>43</v>
      </c>
      <c r="B8">
        <f>TotalBudget-ApprovedBudget</f>
        <v>48930</v>
      </c>
    </row>
    <row r="9" spans="1:2" x14ac:dyDescent="0.25">
      <c r="A9" t="s">
        <v>44</v>
      </c>
      <c r="B9">
        <f>B8/ApprovedBudget</f>
        <v>0.05756470588235294</v>
      </c>
    </row>
    <row r="10" spans="1:2" x14ac:dyDescent="0.25">
      <c r="A10" t="s">
        <v>45</v>
      </c>
      <c r="B10" t="str">
        <f>IF(TotalBudget&gt;ApprovedBudget,"OVER BUDGET","WITHIN BUDGET")</f>
        <v>OVER BUDGET</v>
      </c>
    </row>
    <row r="11" spans="1:2" x14ac:dyDescent="0.25">
      <c r="A11" t="s">
        <v>46</v>
      </c>
      <c r="B11" t="str">
        <f>INDEX(A3:A5,MATCH(MAX(B3:B5),B3:B5,0))</f>
        <v>Sales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Engineering</vt:lpstr>
      <vt:lpstr>Marketing</vt:lpstr>
      <vt:lpstr>Sales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2026-08-01T23:25:41Z</dcterms:created>
  <dcterms:modified xsi:type="dcterms:W3CDTF">2026-08-01T23:25:41Z</dcterms:modified>
</cp:coreProperties>
</file>